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Gr-A" sheetId="2" r:id="rId6"/>
    <sheet state="visible" name="Gr-B" sheetId="3" r:id="rId7"/>
    <sheet state="visible" name="Gr-C" sheetId="4" r:id="rId8"/>
    <sheet state="visible" name="Gr-D" sheetId="5" r:id="rId9"/>
    <sheet state="visible" name="Gr-E" sheetId="6" r:id="rId10"/>
    <sheet state="visible" name="Gr-F" sheetId="7" r:id="rId11"/>
    <sheet state="visible" name="Gr-G" sheetId="8" r:id="rId12"/>
    <sheet state="visible" name="Gr-H" sheetId="9" r:id="rId13"/>
    <sheet state="visible" name="Gr-I" sheetId="10" r:id="rId14"/>
    <sheet state="visible" name="Gr-J" sheetId="11" r:id="rId15"/>
    <sheet state="visible" name="Gr-K" sheetId="12" r:id="rId16"/>
    <sheet state="visible" name="Gr-L" sheetId="13" r:id="rId17"/>
    <sheet state="visible" name="Respecagem" sheetId="14" r:id="rId18"/>
    <sheet state="visible" name="Mata-Mata" sheetId="15" r:id="rId19"/>
  </sheets>
  <definedNames>
    <definedName name="A2A">'Mata-Mata'!$B$2</definedName>
    <definedName name="D2A">'Instruções'!$D$2</definedName>
  </definedNames>
  <calcPr/>
</workbook>
</file>

<file path=xl/sharedStrings.xml><?xml version="1.0" encoding="utf-8"?>
<sst xmlns="http://schemas.openxmlformats.org/spreadsheetml/2006/main" count="973" uniqueCount="256">
  <si>
    <t>⚽  COPA DO MUNDO FIFA 2026  ·  TABELA INTERATIVA</t>
  </si>
  <si>
    <t>Planilha criada por Edivaldo - Site https//www.tudoexcel.com.br</t>
  </si>
  <si>
    <t>Tudo Excel</t>
  </si>
  <si>
    <t>🔵 COMO USAR</t>
  </si>
  <si>
    <t>1.  Preencha APENAS as células em azul (os placares dos jogos)</t>
  </si>
  <si>
    <t>2.  As classificações de cada grupo atualizam automaticamente</t>
  </si>
  <si>
    <t>Colaborador</t>
  </si>
  <si>
    <t>3.  Na aba '3os Lugares', os 8 melhores avançam (ranking automático)</t>
  </si>
  <si>
    <t>guiadecompra.com</t>
  </si>
  <si>
    <t>4.  Na aba 'Mata-Mata', os nomes dos classificados aparecem automaticamente</t>
  </si>
  <si>
    <t>Primeiro site a divulgar a tabela em Excel em 2006</t>
  </si>
  <si>
    <t>📋 CRITÉRIOS DE DESEMPATE (Fase de Grupos)</t>
  </si>
  <si>
    <t>Hoje, cria reviews de produtos para você comprar os melhores e pelo melhor preço</t>
  </si>
  <si>
    <t>1º  Pontos  |  2º  Saldo de gols  |  3º  Gols marcados  |  4º  Confronto direto (verificar manualmente)</t>
  </si>
  <si>
    <t>⚽ MATA-MATA — COMO PREENCHER</t>
  </si>
  <si>
    <t>• Se um jogo terminar EMPATADO no tempo normal: preencha Prorrogação (células amarelas)</t>
  </si>
  <si>
    <t>• Se o placar continuar empatado após a prorrogação: preencha Pênaltis (células laranja)</t>
  </si>
  <si>
    <t>• A coluna 'Classificado' atualiza automaticamente em cada fase</t>
  </si>
  <si>
    <t>📅 DATAS</t>
  </si>
  <si>
    <t>Fase de Grupos: 11 a 27 de junho</t>
  </si>
  <si>
    <t>Rodada de 32:   28 jun – 3 jul</t>
  </si>
  <si>
    <t>Oitavas:         4 – 7 de julho</t>
  </si>
  <si>
    <t>Quartas:         9 – 11 de julho</t>
  </si>
  <si>
    <t>Semifinais:      14 – 15 de julho</t>
  </si>
  <si>
    <t>3º Lugar:        18 de julho  (Miami)</t>
  </si>
  <si>
    <t>FINAL:           19 de julho  (MetLife Stadium, Nova York)</t>
  </si>
  <si>
    <t>⚠️  NOTA SOBRE O CHAVEAMENTO</t>
  </si>
  <si>
    <t>O chaveamento da Rodada de 32 está pré-configurado com base no calendário oficial FIFA.</t>
  </si>
  <si>
    <t>Os confrontos 2C×1F e 1C×2F são confirmados; os demais seguem distribuição geográfica.</t>
  </si>
  <si>
    <t>Os slots de 3os colocados dependem de quais grupos classificam para cada vaga.</t>
  </si>
  <si>
    <t>COPA DO MUNDO FIFA 2026  ·  GRUPO A</t>
  </si>
  <si>
    <t>▶  JOGOS DA FASE DE GRUPOS   (preencha apenas os placares em azul)</t>
  </si>
  <si>
    <t>Rodada</t>
  </si>
  <si>
    <t>Mandante</t>
  </si>
  <si>
    <t>GD</t>
  </si>
  <si>
    <t>GV</t>
  </si>
  <si>
    <t>Visitante</t>
  </si>
  <si>
    <t>Local</t>
  </si>
  <si>
    <t>11/06 # 16h</t>
  </si>
  <si>
    <t>✕</t>
  </si>
  <si>
    <t>Cidade do México</t>
  </si>
  <si>
    <t>NAVEGUE PELOS GRUPOS</t>
  </si>
  <si>
    <t>México</t>
  </si>
  <si>
    <t>11/06 # 23h</t>
  </si>
  <si>
    <t>Guadalajara</t>
  </si>
  <si>
    <t>A</t>
  </si>
  <si>
    <t>B</t>
  </si>
  <si>
    <t>C</t>
  </si>
  <si>
    <t>D</t>
  </si>
  <si>
    <t>África do Sul</t>
  </si>
  <si>
    <t>18/06 # 13h</t>
  </si>
  <si>
    <t>Atlanta</t>
  </si>
  <si>
    <t>E</t>
  </si>
  <si>
    <t>F</t>
  </si>
  <si>
    <t>G</t>
  </si>
  <si>
    <t>H</t>
  </si>
  <si>
    <t>Coreia do Sul</t>
  </si>
  <si>
    <t>18/06 # 22h</t>
  </si>
  <si>
    <t>I</t>
  </si>
  <si>
    <t>J</t>
  </si>
  <si>
    <t>K</t>
  </si>
  <si>
    <t>L</t>
  </si>
  <si>
    <t>República Tcheca</t>
  </si>
  <si>
    <t>24/06 # 22h</t>
  </si>
  <si>
    <t>Monterrey</t>
  </si>
  <si>
    <t>▶  CLASSIFICAÇÃO  (atualização automática)</t>
  </si>
  <si>
    <t>Pos</t>
  </si>
  <si>
    <t>Seleção</t>
  </si>
  <si>
    <t>V</t>
  </si>
  <si>
    <t>GP</t>
  </si>
  <si>
    <t>GC</t>
  </si>
  <si>
    <t>SG</t>
  </si>
  <si>
    <t>PTS</t>
  </si>
  <si>
    <t>🟢 1º e 2º classificados   🟡 3º colocado (pode avançar se for top-8)   🔴 Eliminado</t>
  </si>
  <si>
    <t>COPA DO MUNDO FIFA 2026  ·  GRUPO B</t>
  </si>
  <si>
    <t>12/06 # 16h</t>
  </si>
  <si>
    <t>Toronto Field</t>
  </si>
  <si>
    <t>Canadá</t>
  </si>
  <si>
    <t>13/06 # 16h</t>
  </si>
  <si>
    <t>Santa Clara</t>
  </si>
  <si>
    <t>Bósnia-Herzegovina</t>
  </si>
  <si>
    <t>18/06 # 16h</t>
  </si>
  <si>
    <t>Los Angeles</t>
  </si>
  <si>
    <t>Catar</t>
  </si>
  <si>
    <t>18/06 # 19h</t>
  </si>
  <si>
    <t>Vancouver</t>
  </si>
  <si>
    <t>Suíça</t>
  </si>
  <si>
    <t>24/06 # 16h</t>
  </si>
  <si>
    <t>Seattle</t>
  </si>
  <si>
    <t>COPA DO MUNDO FIFA 2026  ·  GRUPO C</t>
  </si>
  <si>
    <t>13/06 # 19h</t>
  </si>
  <si>
    <t>Nova Jersey</t>
  </si>
  <si>
    <t>Brasil</t>
  </si>
  <si>
    <t>13/06 # 22h</t>
  </si>
  <si>
    <t>Boston</t>
  </si>
  <si>
    <t>Marrocos</t>
  </si>
  <si>
    <t>19/06 # 19h</t>
  </si>
  <si>
    <t>Haiti</t>
  </si>
  <si>
    <t>19/06 # 22h</t>
  </si>
  <si>
    <t>Filadélfia</t>
  </si>
  <si>
    <t>Escócia</t>
  </si>
  <si>
    <t>24/06 # 19h</t>
  </si>
  <si>
    <t>Miami</t>
  </si>
  <si>
    <t>COPA DO MUNDO FIFA 2026  ·  GRUPO D</t>
  </si>
  <si>
    <t>12/06 # 22h</t>
  </si>
  <si>
    <t>Estados Unidos</t>
  </si>
  <si>
    <t>14/06 # 01h</t>
  </si>
  <si>
    <t>Vancouver Place</t>
  </si>
  <si>
    <t>Paraguai</t>
  </si>
  <si>
    <t>19/06 # 16h</t>
  </si>
  <si>
    <t>Austrália</t>
  </si>
  <si>
    <t>20/06 # 01h</t>
  </si>
  <si>
    <t>São Francisco</t>
  </si>
  <si>
    <t>Turquia</t>
  </si>
  <si>
    <t>25/06 # 23h</t>
  </si>
  <si>
    <t>COPA DO MUNDO FIFA 2026  ·  GRUPO E</t>
  </si>
  <si>
    <t>14/06 # 14h</t>
  </si>
  <si>
    <t>Houston</t>
  </si>
  <si>
    <t>Alemanha</t>
  </si>
  <si>
    <t>14/06 # 20h</t>
  </si>
  <si>
    <t>Curaçao</t>
  </si>
  <si>
    <t>20/06 # 17h</t>
  </si>
  <si>
    <t>Toronto</t>
  </si>
  <si>
    <t>Costa do Marfim</t>
  </si>
  <si>
    <t>20/06 # 21h</t>
  </si>
  <si>
    <t>Kansas City</t>
  </si>
  <si>
    <t>Equador</t>
  </si>
  <si>
    <t>25/06 # 17h</t>
  </si>
  <si>
    <t>COPA DO MUNDO FIFA 2026  ·  GRUPO F</t>
  </si>
  <si>
    <t>14/06 # 17h</t>
  </si>
  <si>
    <t>Dallas</t>
  </si>
  <si>
    <t>Holanda</t>
  </si>
  <si>
    <t>14/06 # 23h</t>
  </si>
  <si>
    <t>Japão</t>
  </si>
  <si>
    <t>20/06 # 14h</t>
  </si>
  <si>
    <t>Suécia</t>
  </si>
  <si>
    <t>21/06 # 01h</t>
  </si>
  <si>
    <t>Tunísia</t>
  </si>
  <si>
    <t>25/06 # 20h</t>
  </si>
  <si>
    <t>COPA DO MUNDO FIFA 2026  ·  GRUPO G</t>
  </si>
  <si>
    <t>15/06 # 16h</t>
  </si>
  <si>
    <t>Seattle Field</t>
  </si>
  <si>
    <t>Bélgica</t>
  </si>
  <si>
    <t>15/06 # 22h</t>
  </si>
  <si>
    <t>Egito</t>
  </si>
  <si>
    <t>21/06 # 16h</t>
  </si>
  <si>
    <t>Irã</t>
  </si>
  <si>
    <t>21/06 # 22h</t>
  </si>
  <si>
    <t>Nova Zelândia</t>
  </si>
  <si>
    <t>27/06 # 00h</t>
  </si>
  <si>
    <t>COPA DO MUNDO FIFA 2026  ·  GRUPO H</t>
  </si>
  <si>
    <t>15/06 # 13h</t>
  </si>
  <si>
    <t>Espanha</t>
  </si>
  <si>
    <t>15/06 # 19h</t>
  </si>
  <si>
    <t>Cabo Verde</t>
  </si>
  <si>
    <t>21/06 # 13h</t>
  </si>
  <si>
    <t>Arábia Saudita</t>
  </si>
  <si>
    <t>21/06 # 19h</t>
  </si>
  <si>
    <t>Uruguai</t>
  </si>
  <si>
    <t>26/06 # 21h</t>
  </si>
  <si>
    <t>COPA DO MUNDO FIFA 2026  ·  GRUPO I</t>
  </si>
  <si>
    <t>16/06 # 16h</t>
  </si>
  <si>
    <t>França</t>
  </si>
  <si>
    <t>16/06 # 19h</t>
  </si>
  <si>
    <t>Senegal</t>
  </si>
  <si>
    <t>22/06 # 18h</t>
  </si>
  <si>
    <t>Iraque</t>
  </si>
  <si>
    <t>22/06 # 21h</t>
  </si>
  <si>
    <t>Noruega</t>
  </si>
  <si>
    <t>26/06 # 16h</t>
  </si>
  <si>
    <t>COPA DO MUNDO FIFA 2026  ·  GRUPO J</t>
  </si>
  <si>
    <t>16/06 # 22h</t>
  </si>
  <si>
    <t>Argentina</t>
  </si>
  <si>
    <t>17/06 # 01h</t>
  </si>
  <si>
    <t>Argélia</t>
  </si>
  <si>
    <t>22/06 # 14h</t>
  </si>
  <si>
    <t>Áustria</t>
  </si>
  <si>
    <t>23/06 # 00h</t>
  </si>
  <si>
    <t>Jordânia</t>
  </si>
  <si>
    <t>27/06 # 23h</t>
  </si>
  <si>
    <t>COPA DO MUNDO FIFA 2026  ·  GRUPO K</t>
  </si>
  <si>
    <t>17/06 # 14h</t>
  </si>
  <si>
    <t>Portugal</t>
  </si>
  <si>
    <t>17/06 # 23h</t>
  </si>
  <si>
    <t>RD Congo</t>
  </si>
  <si>
    <t>23/06 # 14h</t>
  </si>
  <si>
    <t>Uzbequistão</t>
  </si>
  <si>
    <t>23/06 # 23h</t>
  </si>
  <si>
    <t>Colômbia</t>
  </si>
  <si>
    <t>27/06 # 20h30</t>
  </si>
  <si>
    <t>COPA DO MUNDO FIFA 2026  ·  GRUPO L</t>
  </si>
  <si>
    <t>17/06 # 17h</t>
  </si>
  <si>
    <t>Inglaterra</t>
  </si>
  <si>
    <t>17/06 # 20h</t>
  </si>
  <si>
    <t>Croácia</t>
  </si>
  <si>
    <t>23/06 # 17h</t>
  </si>
  <si>
    <t>Gana</t>
  </si>
  <si>
    <t>23/06 # 20h</t>
  </si>
  <si>
    <t>Panamá</t>
  </si>
  <si>
    <t>27/06 # 18h</t>
  </si>
  <si>
    <t>COPA DO MUNDO 2026  ·  3os COLOCADOS — RANKING GERAL</t>
  </si>
  <si>
    <t>▶  Os 8 melhores 3os colocados avançam para a Rodada de 32</t>
  </si>
  <si>
    <t>Grupo</t>
  </si>
  <si>
    <t>Situação</t>
  </si>
  <si>
    <t>▶  CLASSIFICAÇÃO DOS 3os COLOCADOS  (automático)</t>
  </si>
  <si>
    <t>✅ Classificado</t>
  </si>
  <si>
    <t>❌ Eliminado</t>
  </si>
  <si>
    <t>COPA DO MUNDO FIFA 2026  ·  FASE DE MATA-MATA</t>
  </si>
  <si>
    <t>▶  RODADA DE 32  (28 jun – 3 jul)  │  Se empate: preencher Prorrogação (amarelo) │ Se persistir: Pênaltis (laranja)</t>
  </si>
  <si>
    <t>Data e Hora</t>
  </si>
  <si>
    <t>Jogo</t>
  </si>
  <si>
    <t>Time 1</t>
  </si>
  <si>
    <t>90'</t>
  </si>
  <si>
    <t>Time 2</t>
  </si>
  <si>
    <t>Prorr</t>
  </si>
  <si>
    <t>Pen</t>
  </si>
  <si>
    <t>Classificado</t>
  </si>
  <si>
    <t>R32-1</t>
  </si>
  <si>
    <t>│</t>
  </si>
  <si>
    <t>R32-2</t>
  </si>
  <si>
    <t>R32-3</t>
  </si>
  <si>
    <t>R32-4</t>
  </si>
  <si>
    <t>R32-5</t>
  </si>
  <si>
    <t>R32-6</t>
  </si>
  <si>
    <t>R32-7</t>
  </si>
  <si>
    <t>R32-8</t>
  </si>
  <si>
    <t>R32-9</t>
  </si>
  <si>
    <t>R32-10</t>
  </si>
  <si>
    <t>R32-11</t>
  </si>
  <si>
    <t>R32-12</t>
  </si>
  <si>
    <t>R32-13</t>
  </si>
  <si>
    <t>R32-14</t>
  </si>
  <si>
    <t>R32-15</t>
  </si>
  <si>
    <t>R32-16</t>
  </si>
  <si>
    <t>⬛ Tempo normal: preencher colunas brancas  |  🟡 Empate no 90': preencher Prorrogação  |  🟠 Empate na prorrogação: preencher Pênaltis</t>
  </si>
  <si>
    <t>▶  OITAVAS DE FINAL  (4–7 jul)</t>
  </si>
  <si>
    <t>O1</t>
  </si>
  <si>
    <t>O2</t>
  </si>
  <si>
    <t>O3</t>
  </si>
  <si>
    <t>O4</t>
  </si>
  <si>
    <t>O5</t>
  </si>
  <si>
    <t>O6</t>
  </si>
  <si>
    <t>O7</t>
  </si>
  <si>
    <t>O8</t>
  </si>
  <si>
    <t>▶  QUARTAS DE FINAL  (9–11 jul)</t>
  </si>
  <si>
    <t>Q1</t>
  </si>
  <si>
    <t>Q2</t>
  </si>
  <si>
    <t>Q3</t>
  </si>
  <si>
    <t>Q4</t>
  </si>
  <si>
    <t>▶  SEMIFINAIS  (14–15 jul)</t>
  </si>
  <si>
    <t>SF1</t>
  </si>
  <si>
    <t>SF2</t>
  </si>
  <si>
    <t>▶  DISPUTA DE 3º LUGAR  (18 jul – Miami)  &amp;  FINAL  (19 jul – MetLife Stadium, NY)</t>
  </si>
  <si>
    <t>3º Lugar</t>
  </si>
  <si>
    <t>▶▶  GRANDE FINAL  ◀◀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</si>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</sst>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theme="1"/>
      <name val="Calibri"/>
    </font>
    <font>
      <sz val="11.0"/>
      <color theme="0"/>
      <name val="Calibri"/>
    </font>
    <font>
      <b/>
      <sz val="11.0"/>
      <color rgb="FF003580"/>
      <name val="Arial"/>
    </font>
    <font>
      <sz val="10.0"/>
      <color rgb="FF1A3A5C"/>
      <name val="Arial"/>
    </font>
    <font>
      <b/>
      <u/>
      <sz val="12.0"/>
      <color theme="10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4.0"/>
      <color theme="10"/>
      <name val="Calibri"/>
    </font>
    <font>
      <b/>
      <sz val="14.0"/>
      <color theme="10"/>
      <name val="Calibri"/>
    </font>
    <font>
      <b/>
      <sz val="14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8.0"/>
      <color rgb="FF595959"/>
      <name val="Arial"/>
    </font>
    <font>
      <b/>
      <sz val="11.0"/>
      <color theme="1"/>
      <name val="Arial"/>
    </font>
    <font>
      <b/>
      <sz val="13.0"/>
      <color rgb="FF003399"/>
      <name val="Arial"/>
    </font>
    <font>
      <sz val="10.0"/>
      <color rgb="FF595959"/>
      <name val="Arial"/>
    </font>
    <font>
      <sz val="8.0"/>
      <color rgb="FF205867"/>
      <name val="Arial"/>
    </font>
    <font>
      <b/>
      <sz val="9.0"/>
      <color rgb="FF333333"/>
      <name val="Calibri"/>
    </font>
    <font>
      <b/>
      <sz val="14.0"/>
      <color rgb="FFFF0000"/>
      <name val="Calibri"/>
    </font>
    <font>
      <b/>
      <u/>
      <sz val="14.0"/>
      <color theme="10"/>
      <name val="Calibri"/>
    </font>
    <font>
      <b/>
      <u/>
      <sz val="11.0"/>
      <color rgb="FF0071E2"/>
      <name val="Calibri"/>
    </font>
    <font>
      <b/>
      <sz val="12.0"/>
      <color rgb="FF0F243E"/>
      <name val="Arial"/>
    </font>
    <font>
      <sz val="11.0"/>
      <color rgb="FF1A3A5C"/>
      <name val="Arial"/>
    </font>
    <font>
      <b/>
      <sz val="11.0"/>
      <color rgb="FF0F243E"/>
      <name val="Arial"/>
    </font>
    <font>
      <i/>
      <sz val="9.0"/>
      <color rgb="FF595959"/>
      <name val="Arial"/>
    </font>
    <font>
      <sz val="9.0"/>
      <color rgb="FF595959"/>
      <name val="Arial"/>
    </font>
    <font>
      <b/>
      <sz val="9.0"/>
      <color theme="1"/>
      <name val="Calibri"/>
    </font>
    <font>
      <b/>
      <sz val="11.0"/>
      <color rgb="FFFFFFFF"/>
      <name val="Arial"/>
    </font>
    <font>
      <b/>
      <sz val="9.0"/>
      <color rgb="FF9C0006"/>
      <name val="Arial"/>
    </font>
    <font>
      <b/>
      <sz val="8.0"/>
      <color rgb="FFFFFFFF"/>
      <name val="Arial"/>
    </font>
    <font>
      <b/>
      <sz val="12.0"/>
      <color rgb="FF8B6000"/>
      <name val="Arial"/>
    </font>
    <font>
      <sz val="10.0"/>
      <color rgb="FF8B6000"/>
      <name val="Arial"/>
    </font>
    <font>
      <b/>
      <sz val="12.0"/>
      <color rgb="FF843C0C"/>
      <name val="Arial"/>
    </font>
    <font>
      <b/>
      <sz val="11.0"/>
      <color rgb="FF375623"/>
      <name val="Arial"/>
    </font>
    <font>
      <i/>
      <sz val="8.0"/>
      <color rgb="FF595959"/>
      <name val="Arial"/>
    </font>
    <font>
      <b/>
      <sz val="9.0"/>
      <color rgb="FFF2F2F2"/>
      <name val="Calibri"/>
    </font>
    <font>
      <b/>
      <sz val="12.0"/>
      <color rgb="FFFFFFFF"/>
      <name val="Arial"/>
    </font>
    <font>
      <b/>
      <sz val="9.0"/>
      <color rgb="FF002060"/>
      <name val="Arial"/>
    </font>
    <font>
      <b/>
      <sz val="14.0"/>
      <color rgb="FF8B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3580"/>
        <bgColor rgb="FF003580"/>
      </patternFill>
    </fill>
    <fill>
      <patternFill patternType="solid">
        <fgColor rgb="FFEEECE1"/>
        <bgColor rgb="FFEEECE1"/>
      </patternFill>
    </fill>
    <fill>
      <patternFill patternType="solid">
        <fgColor rgb="FFE8F0FA"/>
        <bgColor rgb="FFE8F0FA"/>
      </patternFill>
    </fill>
    <fill>
      <patternFill patternType="solid">
        <fgColor rgb="FF2E75B6"/>
        <bgColor rgb="FF2E75B6"/>
      </patternFill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D6E4F7"/>
        <bgColor rgb="FFD6E4F7"/>
      </patternFill>
    </fill>
    <fill>
      <patternFill patternType="solid">
        <fgColor rgb="FFD6E3BC"/>
        <bgColor rgb="FFD6E3BC"/>
      </patternFill>
    </fill>
    <fill>
      <patternFill patternType="solid">
        <fgColor rgb="FFEEF5FB"/>
        <bgColor rgb="FFEEF5FB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17365D"/>
        <bgColor rgb="FF17365D"/>
      </patternFill>
    </fill>
    <fill>
      <patternFill patternType="solid">
        <fgColor rgb="FF990000"/>
        <bgColor rgb="FF990000"/>
      </patternFill>
    </fill>
    <fill>
      <patternFill patternType="solid">
        <fgColor rgb="FF8B0000"/>
        <bgColor rgb="FF8B0000"/>
      </patternFill>
    </fill>
    <fill>
      <patternFill patternType="solid">
        <fgColor rgb="FFFFF9E6"/>
        <bgColor rgb="FFFFF9E6"/>
      </patternFill>
    </fill>
    <fill>
      <patternFill patternType="solid">
        <fgColor rgb="FFFFD700"/>
        <bgColor rgb="FFFFD700"/>
      </patternFill>
    </fill>
  </fills>
  <borders count="15">
    <border/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4" fontId="5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5" fillId="3" fontId="9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3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7" fillId="0" fontId="2" numFmtId="0" xfId="0" applyBorder="1" applyFont="1"/>
    <xf borderId="0" fillId="0" fontId="4" numFmtId="0" xfId="0" applyFont="1"/>
    <xf borderId="1" fillId="5" fontId="13" numFmtId="0" xfId="0" applyAlignment="1" applyBorder="1" applyFill="1" applyFont="1">
      <alignment horizontal="left" vertical="center"/>
    </xf>
    <xf borderId="8" fillId="6" fontId="14" numFmtId="0" xfId="0" applyAlignment="1" applyBorder="1" applyFill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8" fillId="7" fontId="15" numFmtId="0" xfId="0" applyAlignment="1" applyBorder="1" applyFill="1" applyFont="1">
      <alignment horizontal="center" vertical="center"/>
    </xf>
    <xf borderId="8" fillId="7" fontId="16" numFmtId="0" xfId="0" applyAlignment="1" applyBorder="1" applyFont="1">
      <alignment horizontal="right" vertical="center"/>
    </xf>
    <xf borderId="8" fillId="7" fontId="6" numFmtId="0" xfId="0" applyAlignment="1" applyBorder="1" applyFont="1">
      <alignment horizontal="center" vertical="center"/>
    </xf>
    <xf borderId="8" fillId="8" fontId="17" numFmtId="1" xfId="0" applyAlignment="1" applyBorder="1" applyFill="1" applyFont="1" applyNumberFormat="1">
      <alignment horizontal="center" vertical="center"/>
    </xf>
    <xf borderId="8" fillId="7" fontId="18" numFmtId="0" xfId="0" applyAlignment="1" applyBorder="1" applyFont="1">
      <alignment horizontal="center" vertical="center"/>
    </xf>
    <xf borderId="8" fillId="7" fontId="16" numFmtId="0" xfId="0" applyAlignment="1" applyBorder="1" applyFont="1">
      <alignment horizontal="left" vertical="center"/>
    </xf>
    <xf borderId="9" fillId="7" fontId="19" numFmtId="0" xfId="0" applyAlignment="1" applyBorder="1" applyFont="1">
      <alignment horizontal="center" shrinkToFit="0" vertical="center" wrapText="1"/>
    </xf>
    <xf borderId="12" fillId="9" fontId="20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8" fillId="10" fontId="15" numFmtId="0" xfId="0" applyAlignment="1" applyBorder="1" applyFill="1" applyFont="1">
      <alignment horizontal="center" vertical="center"/>
    </xf>
    <xf borderId="8" fillId="10" fontId="16" numFmtId="0" xfId="0" applyAlignment="1" applyBorder="1" applyFont="1">
      <alignment horizontal="right" vertical="center"/>
    </xf>
    <xf borderId="8" fillId="10" fontId="6" numFmtId="0" xfId="0" applyAlignment="1" applyBorder="1" applyFont="1">
      <alignment horizontal="center" vertical="center"/>
    </xf>
    <xf borderId="8" fillId="10" fontId="18" numFmtId="0" xfId="0" applyAlignment="1" applyBorder="1" applyFont="1">
      <alignment horizontal="center" vertical="center"/>
    </xf>
    <xf borderId="8" fillId="10" fontId="16" numFmtId="0" xfId="0" applyAlignment="1" applyBorder="1" applyFont="1">
      <alignment horizontal="left" vertical="center"/>
    </xf>
    <xf borderId="9" fillId="10" fontId="19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vertical="center"/>
    </xf>
    <xf borderId="3" fillId="0" fontId="22" numFmtId="0" xfId="0" applyAlignment="1" applyBorder="1" applyFont="1">
      <alignment horizontal="center" vertical="center"/>
    </xf>
    <xf borderId="8" fillId="8" fontId="17" numFmtId="1" xfId="0" applyAlignment="1" applyBorder="1" applyFont="1" applyNumberFormat="1">
      <alignment horizontal="center" readingOrder="0" vertical="center"/>
    </xf>
    <xf borderId="1" fillId="3" fontId="23" numFmtId="0" xfId="0" applyAlignment="1" applyBorder="1" applyFont="1">
      <alignment horizontal="center" vertical="center"/>
    </xf>
    <xf borderId="8" fillId="11" fontId="24" numFmtId="0" xfId="0" applyAlignment="1" applyBorder="1" applyFill="1" applyFont="1">
      <alignment horizontal="center" vertical="center"/>
    </xf>
    <xf borderId="8" fillId="7" fontId="9" numFmtId="0" xfId="0" applyAlignment="1" applyBorder="1" applyFont="1">
      <alignment horizontal="center" vertical="center"/>
    </xf>
    <xf borderId="8" fillId="7" fontId="25" numFmtId="0" xfId="0" applyAlignment="1" applyBorder="1" applyFont="1">
      <alignment horizontal="center" vertical="center"/>
    </xf>
    <xf borderId="8" fillId="7" fontId="25" numFmtId="1" xfId="0" applyAlignment="1" applyBorder="1" applyFont="1" applyNumberFormat="1">
      <alignment horizontal="center" vertical="center"/>
    </xf>
    <xf borderId="8" fillId="11" fontId="26" numFmtId="0" xfId="0" applyAlignment="1" applyBorder="1" applyFont="1">
      <alignment horizontal="center" vertical="center"/>
    </xf>
    <xf borderId="0" fillId="0" fontId="4" numFmtId="1" xfId="0" applyFont="1" applyNumberFormat="1"/>
    <xf borderId="8" fillId="12" fontId="24" numFmtId="0" xfId="0" applyAlignment="1" applyBorder="1" applyFill="1" applyFont="1">
      <alignment horizontal="center" vertical="center"/>
    </xf>
    <xf borderId="8" fillId="12" fontId="26" numFmtId="0" xfId="0" applyAlignment="1" applyBorder="1" applyFont="1">
      <alignment horizontal="center" vertical="center"/>
    </xf>
    <xf borderId="8" fillId="13" fontId="24" numFmtId="0" xfId="0" applyAlignment="1" applyBorder="1" applyFill="1" applyFont="1">
      <alignment horizontal="center" vertical="center"/>
    </xf>
    <xf borderId="8" fillId="13" fontId="26" numFmtId="0" xfId="0" applyAlignment="1" applyBorder="1" applyFont="1">
      <alignment horizontal="center" vertical="center"/>
    </xf>
    <xf borderId="0" fillId="0" fontId="27" numFmtId="0" xfId="0" applyAlignment="1" applyFont="1">
      <alignment horizontal="left"/>
    </xf>
    <xf borderId="8" fillId="7" fontId="28" numFmtId="0" xfId="0" applyAlignment="1" applyBorder="1" applyFont="1">
      <alignment horizontal="center" vertical="center"/>
    </xf>
    <xf borderId="8" fillId="10" fontId="28" numFmtId="0" xfId="0" applyAlignment="1" applyBorder="1" applyFont="1">
      <alignment horizontal="center" vertical="center"/>
    </xf>
    <xf borderId="12" fillId="9" fontId="29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0" fillId="0" fontId="8" numFmtId="1" xfId="0" applyFont="1" applyNumberFormat="1"/>
    <xf borderId="8" fillId="11" fontId="30" numFmtId="0" xfId="0" applyAlignment="1" applyBorder="1" applyFont="1">
      <alignment horizontal="center" vertical="center"/>
    </xf>
    <xf borderId="8" fillId="11" fontId="14" numFmtId="0" xfId="0" applyAlignment="1" applyBorder="1" applyFont="1">
      <alignment horizontal="center" vertical="center"/>
    </xf>
    <xf borderId="8" fillId="13" fontId="30" numFmtId="0" xfId="0" applyAlignment="1" applyBorder="1" applyFont="1">
      <alignment horizontal="center" vertical="center"/>
    </xf>
    <xf borderId="8" fillId="13" fontId="31" numFmtId="0" xfId="0" applyAlignment="1" applyBorder="1" applyFont="1">
      <alignment horizontal="center" vertical="center"/>
    </xf>
    <xf borderId="4" fillId="2" fontId="12" numFmtId="0" xfId="0" applyAlignment="1" applyBorder="1" applyFont="1">
      <alignment vertical="center"/>
    </xf>
    <xf borderId="4" fillId="5" fontId="30" numFmtId="0" xfId="0" applyAlignment="1" applyBorder="1" applyFont="1">
      <alignment vertical="center"/>
    </xf>
    <xf borderId="1" fillId="5" fontId="30" numFmtId="0" xfId="0" applyAlignment="1" applyBorder="1" applyFont="1">
      <alignment horizontal="left" vertical="center"/>
    </xf>
    <xf borderId="0" fillId="0" fontId="30" numFmtId="0" xfId="0" applyAlignment="1" applyFont="1">
      <alignment vertical="center"/>
    </xf>
    <xf borderId="8" fillId="6" fontId="32" numFmtId="0" xfId="0" applyAlignment="1" applyBorder="1" applyFont="1">
      <alignment horizontal="center" vertical="center"/>
    </xf>
    <xf borderId="8" fillId="14" fontId="33" numFmtId="1" xfId="0" applyAlignment="1" applyBorder="1" applyFill="1" applyFont="1" applyNumberFormat="1">
      <alignment horizontal="center" vertical="center"/>
    </xf>
    <xf borderId="8" fillId="14" fontId="34" numFmtId="0" xfId="0" applyAlignment="1" applyBorder="1" applyFont="1">
      <alignment horizontal="center" vertical="center"/>
    </xf>
    <xf borderId="8" fillId="15" fontId="35" numFmtId="1" xfId="0" applyAlignment="1" applyBorder="1" applyFill="1" applyFont="1" applyNumberFormat="1">
      <alignment horizontal="center" vertical="center"/>
    </xf>
    <xf borderId="8" fillId="16" fontId="36" numFmtId="0" xfId="0" applyAlignment="1" applyBorder="1" applyFill="1" applyFont="1">
      <alignment horizontal="center" vertical="center"/>
    </xf>
    <xf borderId="8" fillId="10" fontId="9" numFmtId="0" xfId="0" applyAlignment="1" applyBorder="1" applyFont="1">
      <alignment horizontal="center" vertical="center"/>
    </xf>
    <xf borderId="0" fillId="0" fontId="37" numFmtId="0" xfId="0" applyFont="1"/>
    <xf borderId="4" fillId="17" fontId="9" numFmtId="0" xfId="0" applyBorder="1" applyFill="1" applyFont="1"/>
    <xf borderId="1" fillId="2" fontId="30" numFmtId="0" xfId="0" applyAlignment="1" applyBorder="1" applyFont="1">
      <alignment horizontal="left" vertical="center"/>
    </xf>
    <xf borderId="4" fillId="17" fontId="38" numFmtId="0" xfId="0" applyAlignment="1" applyBorder="1" applyFont="1">
      <alignment vertical="center"/>
    </xf>
    <xf borderId="4" fillId="17" fontId="38" numFmtId="0" xfId="0" applyAlignment="1" applyBorder="1" applyFont="1">
      <alignment horizontal="center" vertical="center"/>
    </xf>
    <xf borderId="4" fillId="18" fontId="9" numFmtId="0" xfId="0" applyBorder="1" applyFill="1" applyFont="1"/>
    <xf borderId="1" fillId="19" fontId="39" numFmtId="0" xfId="0" applyAlignment="1" applyBorder="1" applyFill="1" applyFont="1">
      <alignment horizontal="left" vertical="center"/>
    </xf>
    <xf borderId="8" fillId="20" fontId="28" numFmtId="0" xfId="0" applyAlignment="1" applyBorder="1" applyFill="1" applyFont="1">
      <alignment horizontal="center" vertical="center"/>
    </xf>
    <xf borderId="8" fillId="20" fontId="40" numFmtId="0" xfId="0" applyAlignment="1" applyBorder="1" applyFont="1">
      <alignment horizontal="center" vertical="center"/>
    </xf>
    <xf borderId="8" fillId="20" fontId="16" numFmtId="0" xfId="0" applyAlignment="1" applyBorder="1" applyFont="1">
      <alignment horizontal="right" vertical="center"/>
    </xf>
    <xf borderId="8" fillId="20" fontId="9" numFmtId="0" xfId="0" applyAlignment="1" applyBorder="1" applyFont="1">
      <alignment horizontal="center" vertical="center"/>
    </xf>
    <xf borderId="8" fillId="20" fontId="17" numFmtId="1" xfId="0" applyAlignment="1" applyBorder="1" applyFont="1" applyNumberFormat="1">
      <alignment horizontal="center" vertical="center"/>
    </xf>
    <xf borderId="8" fillId="20" fontId="18" numFmtId="0" xfId="0" applyAlignment="1" applyBorder="1" applyFont="1">
      <alignment horizontal="center" vertical="center"/>
    </xf>
    <xf borderId="8" fillId="20" fontId="16" numFmtId="0" xfId="0" applyAlignment="1" applyBorder="1" applyFont="1">
      <alignment horizontal="left" vertical="center"/>
    </xf>
    <xf borderId="8" fillId="20" fontId="33" numFmtId="1" xfId="0" applyAlignment="1" applyBorder="1" applyFont="1" applyNumberFormat="1">
      <alignment horizontal="center" vertical="center"/>
    </xf>
    <xf borderId="8" fillId="20" fontId="34" numFmtId="0" xfId="0" applyAlignment="1" applyBorder="1" applyFont="1">
      <alignment horizontal="center" vertical="center"/>
    </xf>
    <xf borderId="8" fillId="20" fontId="35" numFmtId="1" xfId="0" applyAlignment="1" applyBorder="1" applyFont="1" applyNumberFormat="1">
      <alignment horizontal="center" vertical="center"/>
    </xf>
    <xf borderId="8" fillId="21" fontId="4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1</xdr:row>
      <xdr:rowOff>95250</xdr:rowOff>
    </xdr:from>
    <xdr:ext cx="141922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5</xdr:row>
      <xdr:rowOff>219075</xdr:rowOff>
    </xdr:from>
    <xdr:ext cx="1419225" cy="3048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685800</xdr:colOff>
      <xdr:row>16</xdr:row>
      <xdr:rowOff>0</xdr:rowOff>
    </xdr:from>
    <xdr:ext cx="1771650" cy="276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uiadecompra.com/" TargetMode="External"/><Relationship Id="rId2" Type="http://schemas.openxmlformats.org/officeDocument/2006/relationships/hyperlink" Target="https://www.guiadecompra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oexcel.com.br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91.29"/>
    <col customWidth="1" min="3" max="3" width="8.71"/>
    <col customWidth="1" min="4" max="4" width="42.71"/>
    <col customWidth="1" min="5" max="26" width="8.71"/>
  </cols>
  <sheetData>
    <row r="1" ht="39.75" customHeight="1">
      <c r="A1" s="1" t="s">
        <v>0</v>
      </c>
      <c r="B1" s="2"/>
      <c r="D1" s="3" t="s">
        <v>1</v>
      </c>
    </row>
    <row r="2" ht="14.25" customHeight="1">
      <c r="D2" s="4" t="s">
        <v>2</v>
      </c>
    </row>
    <row r="3" ht="7.5" customHeight="1"/>
    <row r="4" ht="18.0" customHeight="1">
      <c r="B4" s="5" t="s">
        <v>3</v>
      </c>
    </row>
    <row r="5" ht="18.0" customHeight="1">
      <c r="B5" s="6" t="s">
        <v>4</v>
      </c>
    </row>
    <row r="6" ht="18.0" customHeight="1">
      <c r="B6" s="6" t="s">
        <v>5</v>
      </c>
      <c r="D6" s="7" t="s">
        <v>6</v>
      </c>
    </row>
    <row r="7" ht="18.0" customHeight="1">
      <c r="B7" s="6" t="s">
        <v>7</v>
      </c>
      <c r="D7" s="8" t="s">
        <v>8</v>
      </c>
    </row>
    <row r="8" ht="18.0" customHeight="1">
      <c r="B8" s="6" t="s">
        <v>9</v>
      </c>
      <c r="D8" s="9" t="s">
        <v>10</v>
      </c>
    </row>
    <row r="9" ht="7.5" customHeight="1"/>
    <row r="10" ht="18.0" customHeight="1">
      <c r="B10" s="5" t="s">
        <v>11</v>
      </c>
      <c r="D10" s="10" t="s">
        <v>12</v>
      </c>
    </row>
    <row r="11" ht="18.0" customHeight="1">
      <c r="B11" s="6" t="s">
        <v>13</v>
      </c>
      <c r="D11" s="11"/>
    </row>
    <row r="12" ht="7.5" customHeight="1"/>
    <row r="13" ht="18.0" customHeight="1">
      <c r="B13" s="5" t="s">
        <v>14</v>
      </c>
      <c r="D13" s="12" t="s">
        <v>8</v>
      </c>
    </row>
    <row r="14" ht="18.0" customHeight="1">
      <c r="B14" s="6" t="s">
        <v>15</v>
      </c>
    </row>
    <row r="15" ht="18.0" customHeight="1">
      <c r="B15" s="6" t="s">
        <v>16</v>
      </c>
    </row>
    <row r="16" ht="18.0" customHeight="1">
      <c r="B16" s="6" t="s">
        <v>17</v>
      </c>
    </row>
    <row r="17" ht="7.5" customHeight="1"/>
    <row r="18" ht="18.0" customHeight="1">
      <c r="B18" s="5" t="s">
        <v>18</v>
      </c>
      <c r="D18" s="13"/>
    </row>
    <row r="19" ht="18.0" customHeight="1">
      <c r="B19" s="6" t="s">
        <v>19</v>
      </c>
    </row>
    <row r="20" ht="18.0" customHeight="1">
      <c r="B20" s="6" t="s">
        <v>20</v>
      </c>
    </row>
    <row r="21" ht="18.0" customHeight="1">
      <c r="B21" s="6" t="s">
        <v>21</v>
      </c>
    </row>
    <row r="22" ht="18.0" customHeight="1">
      <c r="B22" s="6" t="s">
        <v>22</v>
      </c>
    </row>
    <row r="23" ht="18.0" customHeight="1">
      <c r="B23" s="6" t="s">
        <v>23</v>
      </c>
    </row>
    <row r="24" ht="18.0" customHeight="1">
      <c r="B24" s="6" t="s">
        <v>24</v>
      </c>
    </row>
    <row r="25" ht="18.0" customHeight="1">
      <c r="B25" s="6" t="s">
        <v>25</v>
      </c>
    </row>
    <row r="26" ht="7.5" customHeight="1"/>
    <row r="27" ht="18.0" customHeight="1">
      <c r="B27" s="5" t="s">
        <v>26</v>
      </c>
    </row>
    <row r="28" ht="18.0" customHeight="1">
      <c r="B28" s="6" t="s">
        <v>27</v>
      </c>
    </row>
    <row r="29" ht="18.0" customHeight="1">
      <c r="B29" s="6" t="s">
        <v>28</v>
      </c>
    </row>
    <row r="30" ht="18.0" customHeight="1">
      <c r="B30" s="6" t="s">
        <v>29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D10:D11"/>
  </mergeCells>
  <hyperlinks>
    <hyperlink r:id="rId1" ref="D7"/>
    <hyperlink r:id="rId2" ref="D13"/>
  </hyperlinks>
  <printOptions/>
  <pageMargins bottom="1.0" footer="0.0" header="0.0" left="0.75" right="0.75" top="1.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6C0A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5" width="5.0"/>
    <col customWidth="1" min="16" max="16" width="5.14"/>
    <col customWidth="1" hidden="1" min="17" max="26" width="12.0"/>
    <col customWidth="1" hidden="1" min="27" max="27" width="3.29"/>
  </cols>
  <sheetData>
    <row r="1" ht="31.5" customHeight="1">
      <c r="A1" s="14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22" t="s">
        <v>38</v>
      </c>
      <c r="B5" s="23" t="str">
        <f>Q5</f>
        <v>México</v>
      </c>
      <c r="C5" s="24"/>
      <c r="D5" s="25">
        <v>2.0</v>
      </c>
      <c r="E5" s="26" t="s">
        <v>39</v>
      </c>
      <c r="F5" s="25">
        <v>0.0</v>
      </c>
      <c r="G5" s="24"/>
      <c r="H5" s="27" t="str">
        <f>Q6</f>
        <v>África do Sul</v>
      </c>
      <c r="I5" s="28" t="s">
        <v>40</v>
      </c>
      <c r="J5" s="20"/>
      <c r="K5" s="21"/>
      <c r="M5" s="29" t="s">
        <v>41</v>
      </c>
      <c r="N5" s="30"/>
      <c r="O5" s="30"/>
      <c r="P5" s="31"/>
      <c r="Q5" s="16" t="s">
        <v>42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32" t="s">
        <v>43</v>
      </c>
      <c r="B6" s="33" t="str">
        <f t="shared" ref="B6:B7" si="1">Q7</f>
        <v>Coreia do Sul</v>
      </c>
      <c r="C6" s="34"/>
      <c r="D6" s="25">
        <v>2.0</v>
      </c>
      <c r="E6" s="35" t="s">
        <v>39</v>
      </c>
      <c r="F6" s="25">
        <v>1.0</v>
      </c>
      <c r="G6" s="34"/>
      <c r="H6" s="36" t="str">
        <f>Q8</f>
        <v>República Tcheca</v>
      </c>
      <c r="I6" s="37" t="s">
        <v>44</v>
      </c>
      <c r="J6" s="20"/>
      <c r="K6" s="21"/>
      <c r="M6" s="38" t="s">
        <v>45</v>
      </c>
      <c r="N6" s="39" t="s">
        <v>46</v>
      </c>
      <c r="O6" s="39" t="s">
        <v>47</v>
      </c>
      <c r="P6" s="39" t="s">
        <v>48</v>
      </c>
      <c r="Q6" s="16" t="s">
        <v>49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22" t="s">
        <v>50</v>
      </c>
      <c r="B7" s="23" t="str">
        <f t="shared" si="1"/>
        <v>República Tcheca</v>
      </c>
      <c r="C7" s="24"/>
      <c r="D7" s="40">
        <v>1.0</v>
      </c>
      <c r="E7" s="26" t="s">
        <v>39</v>
      </c>
      <c r="F7" s="40">
        <v>1.0</v>
      </c>
      <c r="G7" s="24"/>
      <c r="H7" s="27" t="str">
        <f t="shared" ref="H7:H8" si="2">Q6</f>
        <v>África do Sul</v>
      </c>
      <c r="I7" s="28" t="s">
        <v>51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56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32" t="s">
        <v>57</v>
      </c>
      <c r="B8" s="33" t="str">
        <f>Q5</f>
        <v>México</v>
      </c>
      <c r="C8" s="34"/>
      <c r="D8" s="40">
        <v>1.0</v>
      </c>
      <c r="E8" s="35" t="s">
        <v>39</v>
      </c>
      <c r="F8" s="40">
        <v>0.0</v>
      </c>
      <c r="G8" s="34"/>
      <c r="H8" s="36" t="str">
        <f t="shared" si="2"/>
        <v>Coreia do Sul</v>
      </c>
      <c r="I8" s="37" t="s">
        <v>44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62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22" t="s">
        <v>63</v>
      </c>
      <c r="B9" s="23" t="str">
        <f>Q8</f>
        <v>República Tcheca</v>
      </c>
      <c r="C9" s="24"/>
      <c r="D9" s="25"/>
      <c r="E9" s="26" t="s">
        <v>39</v>
      </c>
      <c r="F9" s="25"/>
      <c r="G9" s="24"/>
      <c r="H9" s="27" t="str">
        <f>Q5</f>
        <v>México</v>
      </c>
      <c r="I9" s="28" t="s">
        <v>40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32" t="s">
        <v>63</v>
      </c>
      <c r="B10" s="33" t="str">
        <f>Q6</f>
        <v>África do Sul</v>
      </c>
      <c r="C10" s="34"/>
      <c r="D10" s="25"/>
      <c r="E10" s="35" t="s">
        <v>39</v>
      </c>
      <c r="F10" s="25"/>
      <c r="G10" s="34"/>
      <c r="H10" s="36" t="str">
        <f>Q7</f>
        <v>Coreia do Sul</v>
      </c>
      <c r="I10" s="37" t="s">
        <v>64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México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2</v>
      </c>
      <c r="K14" s="44">
        <f t="array" ref="K14">INDEX(T$14:T$17,MATCH(1,AA$14:AA$17,0))</f>
        <v>0</v>
      </c>
      <c r="L14" s="44">
        <f t="array" ref="L14">INDEX(U$14:U$17,MATCH(1,AA$14:AA$17,0))</f>
        <v>0</v>
      </c>
      <c r="M14" s="45">
        <f t="array" ref="M14">INDEX(V$14:V$17,MATCH(1,AA$14:AA$17,0))</f>
        <v>3</v>
      </c>
      <c r="N14" s="45">
        <f t="array" ref="N14">INDEX(W$14:W$17,MATCH(1,AA$14:AA$17,0))</f>
        <v>0</v>
      </c>
      <c r="O14" s="45">
        <f t="array" ref="O14">INDEX(X$14:X$17,MATCH(1,AA$14:AA$17,0))</f>
        <v>3</v>
      </c>
      <c r="P14" s="46">
        <f t="array" ref="P14">INDEX(Y$14:Y$17,MATCH(1,AA$14:AA$17,0))</f>
        <v>6</v>
      </c>
      <c r="Q14" s="16" t="str">
        <f t="shared" ref="Q14:Q17" si="3">Q5</f>
        <v>México</v>
      </c>
      <c r="R14" s="16">
        <f>((D5&lt;&gt;"")*( F5&lt;&gt;""))+((D8&lt;&gt;"")*( F8&lt;&gt;""))+((D9&lt;&gt;"")*( F9&lt;&gt;""))</f>
        <v>2</v>
      </c>
      <c r="S14" s="16">
        <f>IF(AND(D5&lt;&gt;"",F5&lt;&gt;""),IF(D5&gt;F5,1,0),0)+IF(AND(D8&lt;&gt;"",F8&lt;&gt;""),IF(D8&gt;F8,1,0),0)+IF(AND(D9&lt;&gt;"",F9&lt;&gt;""),IF(F9&gt;D9,1,0),0)</f>
        <v>2</v>
      </c>
      <c r="T14" s="16">
        <f>IF(AND(D5&lt;&gt;"",F5&lt;&gt;""),IF(D5=F5,1,0),0)+IF(AND(D8&lt;&gt;"",F8&lt;&gt;""),IF(D8=F8,1,0),0)+IF(AND(D9&lt;&gt;"",F9&lt;&gt;""),IF(D9=F9,1,0),0)</f>
        <v>0</v>
      </c>
      <c r="U14" s="16">
        <f>IF(AND(D5&lt;&gt;"",F5&lt;&gt;""),IF(D5&lt;F5,1,0),0)+IF(AND(D8&lt;&gt;"",F8&lt;&gt;""),IF(D8&lt;F8,1,0),0)+IF(AND(D9&lt;&gt;"",F9&lt;&gt;""),IF(F9&lt;D9,1,0),0)</f>
        <v>0</v>
      </c>
      <c r="V14" s="47">
        <f>IF(D5="",0,D5)+IF(D8="",0,D8)+IF(F9="",0,F9)</f>
        <v>3</v>
      </c>
      <c r="W14" s="47">
        <f>IF(F5="",0,F5)+IF(F8="",0,F8)+IF(D9="",0,D9)</f>
        <v>0</v>
      </c>
      <c r="X14" s="47">
        <f t="shared" ref="X14:X17" si="4">V14-W14</f>
        <v>3</v>
      </c>
      <c r="Y14" s="16">
        <f t="shared" ref="Y14:Y17" si="5">S14*3+T14</f>
        <v>6</v>
      </c>
      <c r="Z14" s="16">
        <f>Y14*1000000+(X14+100)*10000+V14*100+4</f>
        <v>7030304</v>
      </c>
      <c r="AA14" s="16">
        <f t="shared" ref="AA14:AA17" si="6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Coreia do Sul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1</v>
      </c>
      <c r="K15" s="44">
        <f t="array" ref="K15">INDEX(T$14:T$17,MATCH(2,AA$14:AA$17,0))</f>
        <v>0</v>
      </c>
      <c r="L15" s="44">
        <f t="array" ref="L15">INDEX(U$14:U$17,MATCH(2,AA$14:AA$17,0))</f>
        <v>1</v>
      </c>
      <c r="M15" s="45">
        <f t="array" ref="M15">INDEX(V$14:V$17,MATCH(2,AA$14:AA$17,0))</f>
        <v>2</v>
      </c>
      <c r="N15" s="45">
        <f t="array" ref="N15">INDEX(W$14:W$17,MATCH(2,AA$14:AA$17,0))</f>
        <v>2</v>
      </c>
      <c r="O15" s="45">
        <f t="array" ref="O15">INDEX(X$14:X$17,MATCH(2,AA$14:AA$17,0))</f>
        <v>0</v>
      </c>
      <c r="P15" s="46">
        <f t="array" ref="P15">INDEX(Y$14:Y$17,MATCH(2,AA$14:AA$17,0))</f>
        <v>3</v>
      </c>
      <c r="Q15" s="16" t="str">
        <f t="shared" si="3"/>
        <v>África do Sul</v>
      </c>
      <c r="R15" s="16">
        <f>((D5&lt;&gt;"")*( F5&lt;&gt;""))+((D7&lt;&gt;"")*( F7&lt;&gt;""))+((D10&lt;&gt;"")*( F10&lt;&gt;""))</f>
        <v>2</v>
      </c>
      <c r="S15" s="16">
        <f>IF(AND(D5&lt;&gt;"",F5&lt;&gt;""),IF(F5&gt;D5,1,0),0)+IF(AND(D7&lt;&gt;"",F7&lt;&gt;""),IF(F7&gt;D7,1,0),0)+IF(AND(D10&lt;&gt;"",F10&lt;&gt;""),IF(D10&gt;F10,1,0),0)</f>
        <v>0</v>
      </c>
      <c r="T15" s="16">
        <f>IF(AND(D5&lt;&gt;"",F5&lt;&gt;""),IF(D5=F5,1,0),0)+IF(AND(D7&lt;&gt;"",F7&lt;&gt;""),IF(D7=F7,1,0),0)+IF(AND(D10&lt;&gt;"",F10&lt;&gt;""),IF(D10=F10,1,0),0)</f>
        <v>1</v>
      </c>
      <c r="U15" s="16">
        <f>IF(AND(D5&lt;&gt;"",F5&lt;&gt;""),IF(F5&lt;D5,1,0),0)+IF(AND(D7&lt;&gt;"",F7&lt;&gt;""),IF(F7&lt;D7,1,0),0)+IF(AND(D10&lt;&gt;"",F10&lt;&gt;""),IF(D10&lt;F10,1,0),0)</f>
        <v>1</v>
      </c>
      <c r="V15" s="47">
        <f>IF(F5="",0,F5)+IF(F7="",0,F7)+IF(D10="",0,D10)</f>
        <v>1</v>
      </c>
      <c r="W15" s="47">
        <f>IF(D5="",0,D5)+IF(D7="",0,D7)+IF(F10="",0,F10)</f>
        <v>3</v>
      </c>
      <c r="X15" s="47">
        <f t="shared" si="4"/>
        <v>-2</v>
      </c>
      <c r="Y15" s="16">
        <f t="shared" si="5"/>
        <v>1</v>
      </c>
      <c r="Z15" s="16">
        <f>Y15*1000000+(X15+100)*10000+V15*100+3</f>
        <v>1980103</v>
      </c>
      <c r="AA15" s="16">
        <f t="shared" si="6"/>
        <v>4</v>
      </c>
    </row>
    <row r="16" ht="21.75" customHeight="1">
      <c r="A16" s="48">
        <v>3.0</v>
      </c>
      <c r="B16" s="27" t="str">
        <f t="array" ref="B16">INDEX(Q$14:Q$17,MATCH(3,AA$14:AA$17,0))</f>
        <v>República Tcheca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0</v>
      </c>
      <c r="K16" s="44">
        <f t="array" ref="K16">INDEX(T$14:T$17,MATCH(3,AA$14:AA$17,0))</f>
        <v>1</v>
      </c>
      <c r="L16" s="44">
        <f t="array" ref="L16">INDEX(U$14:U$17,MATCH(3,AA$14:AA$17,0))</f>
        <v>1</v>
      </c>
      <c r="M16" s="45">
        <f t="array" ref="M16">INDEX(V$14:V$17,MATCH(3,AA$14:AA$17,0))</f>
        <v>2</v>
      </c>
      <c r="N16" s="45">
        <f t="array" ref="N16">INDEX(W$14:W$17,MATCH(3,AA$14:AA$17,0))</f>
        <v>3</v>
      </c>
      <c r="O16" s="45">
        <f t="array" ref="O16">INDEX(X$14:X$17,MATCH(3,AA$14:AA$17,0))</f>
        <v>-1</v>
      </c>
      <c r="P16" s="49">
        <f t="array" ref="P16">INDEX(Y$14:Y$17,MATCH(3,AA$14:AA$17,0))</f>
        <v>1</v>
      </c>
      <c r="Q16" s="16" t="str">
        <f t="shared" si="3"/>
        <v>Coreia do Sul</v>
      </c>
      <c r="R16" s="16">
        <f>((D6&lt;&gt;"")*( F6&lt;&gt;""))+((D8&lt;&gt;"")*( F8&lt;&gt;""))+((D10&lt;&gt;"")*( F10&lt;&gt;""))</f>
        <v>2</v>
      </c>
      <c r="S16" s="16">
        <f>IF(AND(D6&lt;&gt;"",F6&lt;&gt;""),IF(D6&gt;F6,1,0),0)+IF(AND(D8&lt;&gt;"",F8&lt;&gt;""),IF(F8&gt;D8,1,0),0)+IF(AND(D10&lt;&gt;"",F10&lt;&gt;""),IF(F10&gt;D10,1,0),0)</f>
        <v>1</v>
      </c>
      <c r="T16" s="16">
        <f>IF(AND(D6&lt;&gt;"",F6&lt;&gt;""),IF(D6=F6,1,0),0)+IF(AND(D8&lt;&gt;"",F8&lt;&gt;""),IF(D8=F8,1,0),0)+IF(AND(D10&lt;&gt;"",F10&lt;&gt;""),IF(D10=F10,1,0),0)</f>
        <v>0</v>
      </c>
      <c r="U16" s="16">
        <f>IF(AND(D6&lt;&gt;"",F6&lt;&gt;""),IF(D6&lt;F6,1,0),0)+IF(AND(D8&lt;&gt;"",F8&lt;&gt;""),IF(F8&lt;D8,1,0),0)+IF(AND(D10&lt;&gt;"",F10&lt;&gt;""),IF(F10&lt;D10,1,0),0)</f>
        <v>1</v>
      </c>
      <c r="V16" s="47">
        <f>IF(D6="",0,D6)+IF(F8="",0,F8)+IF(F10="",0,F10)</f>
        <v>2</v>
      </c>
      <c r="W16" s="47">
        <f>IF(F6="",0,F6)+IF(D8="",0,D8)+IF(D10="",0,D10)</f>
        <v>2</v>
      </c>
      <c r="X16" s="47">
        <f t="shared" si="4"/>
        <v>0</v>
      </c>
      <c r="Y16" s="16">
        <f t="shared" si="5"/>
        <v>3</v>
      </c>
      <c r="Z16" s="16">
        <f>Y16*1000000+(X16+100)*10000+V16*100+2</f>
        <v>4000202</v>
      </c>
      <c r="AA16" s="16">
        <f t="shared" si="6"/>
        <v>2</v>
      </c>
    </row>
    <row r="17" ht="21.75" customHeight="1">
      <c r="A17" s="50">
        <v>4.0</v>
      </c>
      <c r="B17" s="27" t="str">
        <f t="array" ref="B17">INDEX(Q$14:Q$17,MATCH(4,AA$14:AA$17,0))</f>
        <v>África do Sul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1</v>
      </c>
      <c r="L17" s="44">
        <f t="array" ref="L17">INDEX(U$14:U$17,MATCH(4,AA$14:AA$17,0))</f>
        <v>1</v>
      </c>
      <c r="M17" s="45">
        <f t="array" ref="M17">INDEX(V$14:V$17,MATCH(4,AA$14:AA$17,0))</f>
        <v>1</v>
      </c>
      <c r="N17" s="45">
        <f t="array" ref="N17">INDEX(W$14:W$17,MATCH(4,AA$14:AA$17,0))</f>
        <v>3</v>
      </c>
      <c r="O17" s="45">
        <f t="array" ref="O17">INDEX(X$14:X$17,MATCH(4,AA$14:AA$17,0))</f>
        <v>-2</v>
      </c>
      <c r="P17" s="51">
        <f t="array" ref="P17">INDEX(Y$14:Y$17,MATCH(4,AA$14:AA$17,0))</f>
        <v>1</v>
      </c>
      <c r="Q17" s="16" t="str">
        <f t="shared" si="3"/>
        <v>República Tcheca</v>
      </c>
      <c r="R17" s="16">
        <f>((D6&lt;&gt;"")*( F6&lt;&gt;""))+((D7&lt;&gt;"")*( F7&lt;&gt;""))+((D9&lt;&gt;"")*( F9&lt;&gt;""))</f>
        <v>2</v>
      </c>
      <c r="S17" s="16">
        <f>IF(AND(D6&lt;&gt;"",F6&lt;&gt;""),IF(F6&gt;D6,1,0),0)+IF(AND(D7&lt;&gt;"",F7&lt;&gt;""),IF(D7&gt;F7,1,0),0)+IF(AND(D9&lt;&gt;"",F9&lt;&gt;""),IF(D9&gt;F9,1,0),0)</f>
        <v>0</v>
      </c>
      <c r="T17" s="16">
        <f>IF(AND(D6&lt;&gt;"",F6&lt;&gt;""),IF(D6=F6,1,0),0)+IF(AND(D7&lt;&gt;"",F7&lt;&gt;""),IF(D7=F7,1,0),0)+IF(AND(D9&lt;&gt;"",F9&lt;&gt;""),IF(D9=F9,1,0),0)</f>
        <v>1</v>
      </c>
      <c r="U17" s="16">
        <f>IF(AND(D6&lt;&gt;"",F6&lt;&gt;""),IF(F6&lt;D6,1,0),0)+IF(AND(D7&lt;&gt;"",F7&lt;&gt;""),IF(D7&lt;F7,1,0),0)+IF(AND(D9&lt;&gt;"",F9&lt;&gt;""),IF(D9&lt;F9,1,0),0)</f>
        <v>1</v>
      </c>
      <c r="V17" s="47">
        <f>IF(F6="",0,F6)+IF(D7="",0,D7)+IF(D9="",0,D9)</f>
        <v>2</v>
      </c>
      <c r="W17" s="47">
        <f>IF(D6="",0,D6)+IF(F7="",0,F7)+IF(F9="",0,F9)</f>
        <v>3</v>
      </c>
      <c r="X17" s="47">
        <f t="shared" si="4"/>
        <v>-1</v>
      </c>
      <c r="Y17" s="16">
        <f t="shared" si="5"/>
        <v>1</v>
      </c>
      <c r="Z17" s="16">
        <f>Y17*1000000+(X17+100)*10000+V17*100+1</f>
        <v>1990201</v>
      </c>
      <c r="AA17" s="16">
        <f t="shared" si="6"/>
        <v>3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B" location="'Gr-B'!A1" ref="N6"/>
    <hyperlink display="C" location="'Gr-C'!A1" ref="O6"/>
    <hyperlink display="D" location="'Gr-D'!A1" ref="P6"/>
    <hyperlink display="E" location="'Gr-E'!A1" ref="M7"/>
    <hyperlink display="F" location="'Gr-F'!A1" ref="N7"/>
    <hyperlink display="G" location="'Gr-G'!A1" ref="O7"/>
    <hyperlink display="H" location="'Gr-H'!A1" ref="P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75</v>
      </c>
      <c r="B5" s="23" t="str">
        <f>Q5</f>
        <v>Canadá</v>
      </c>
      <c r="C5" s="24"/>
      <c r="D5" s="25">
        <v>1.0</v>
      </c>
      <c r="E5" s="26" t="s">
        <v>39</v>
      </c>
      <c r="F5" s="25">
        <v>1.0</v>
      </c>
      <c r="G5" s="24"/>
      <c r="H5" s="27" t="str">
        <f>Q6</f>
        <v>Bósnia-Herzegovina</v>
      </c>
      <c r="I5" s="28" t="s">
        <v>76</v>
      </c>
      <c r="J5" s="20"/>
      <c r="K5" s="21"/>
      <c r="M5" s="29" t="s">
        <v>41</v>
      </c>
      <c r="N5" s="30"/>
      <c r="O5" s="30"/>
      <c r="P5" s="31"/>
      <c r="Q5" s="16" t="s">
        <v>77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78</v>
      </c>
      <c r="B6" s="33" t="str">
        <f t="shared" ref="B6:B7" si="1">Q7</f>
        <v>Catar</v>
      </c>
      <c r="C6" s="34"/>
      <c r="D6" s="25">
        <v>1.0</v>
      </c>
      <c r="E6" s="35" t="s">
        <v>39</v>
      </c>
      <c r="F6" s="25">
        <v>1.0</v>
      </c>
      <c r="G6" s="34"/>
      <c r="H6" s="36" t="str">
        <f>Q8</f>
        <v>Suíça</v>
      </c>
      <c r="I6" s="37" t="s">
        <v>79</v>
      </c>
      <c r="J6" s="20"/>
      <c r="K6" s="21"/>
      <c r="M6" s="39" t="s">
        <v>45</v>
      </c>
      <c r="N6" s="38" t="s">
        <v>46</v>
      </c>
      <c r="O6" s="39" t="s">
        <v>47</v>
      </c>
      <c r="P6" s="39" t="s">
        <v>48</v>
      </c>
      <c r="Q6" s="16" t="s">
        <v>80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81</v>
      </c>
      <c r="B7" s="23" t="str">
        <f t="shared" si="1"/>
        <v>Suíça</v>
      </c>
      <c r="C7" s="24"/>
      <c r="D7" s="40">
        <v>4.0</v>
      </c>
      <c r="E7" s="26" t="s">
        <v>39</v>
      </c>
      <c r="F7" s="40">
        <v>1.0</v>
      </c>
      <c r="G7" s="24"/>
      <c r="H7" s="27" t="str">
        <f t="shared" ref="H7:H8" si="2">Q6</f>
        <v>Bósnia-Herzegovina</v>
      </c>
      <c r="I7" s="28" t="s">
        <v>82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83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84</v>
      </c>
      <c r="B8" s="33" t="str">
        <f>Q5</f>
        <v>Canadá</v>
      </c>
      <c r="C8" s="34"/>
      <c r="D8" s="40">
        <v>6.0</v>
      </c>
      <c r="E8" s="35" t="s">
        <v>39</v>
      </c>
      <c r="F8" s="40">
        <v>0.0</v>
      </c>
      <c r="G8" s="34"/>
      <c r="H8" s="36" t="str">
        <f t="shared" si="2"/>
        <v>Catar</v>
      </c>
      <c r="I8" s="37" t="s">
        <v>85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86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87</v>
      </c>
      <c r="B9" s="23" t="str">
        <f>Q8</f>
        <v>Suíça</v>
      </c>
      <c r="C9" s="24"/>
      <c r="D9" s="25"/>
      <c r="E9" s="26" t="s">
        <v>39</v>
      </c>
      <c r="F9" s="25"/>
      <c r="G9" s="24"/>
      <c r="H9" s="27" t="str">
        <f>Q5</f>
        <v>Canadá</v>
      </c>
      <c r="I9" s="28" t="s">
        <v>85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87</v>
      </c>
      <c r="B10" s="33" t="str">
        <f>Q6</f>
        <v>Bósnia-Herzegovina</v>
      </c>
      <c r="C10" s="34"/>
      <c r="D10" s="25"/>
      <c r="E10" s="35" t="s">
        <v>39</v>
      </c>
      <c r="F10" s="25"/>
      <c r="G10" s="34"/>
      <c r="H10" s="36" t="str">
        <f>Q7</f>
        <v>Catar</v>
      </c>
      <c r="I10" s="37" t="s">
        <v>88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Canadá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1</v>
      </c>
      <c r="K14" s="44">
        <f t="array" ref="K14">INDEX(T$14:T$17,MATCH(1,AA$14:AA$17,0))</f>
        <v>1</v>
      </c>
      <c r="L14" s="44">
        <f t="array" ref="L14">INDEX(U$14:U$17,MATCH(1,AA$14:AA$17,0))</f>
        <v>0</v>
      </c>
      <c r="M14" s="45">
        <f t="array" ref="M14">INDEX(V$14:V$17,MATCH(1,AA$14:AA$17,0))</f>
        <v>7</v>
      </c>
      <c r="N14" s="45">
        <f t="array" ref="N14">INDEX(W$14:W$17,MATCH(1,AA$14:AA$17,0))</f>
        <v>1</v>
      </c>
      <c r="O14" s="45">
        <f t="array" ref="O14">INDEX(X$14:X$17,MATCH(1,AA$14:AA$17,0))</f>
        <v>6</v>
      </c>
      <c r="P14" s="46">
        <f t="array" ref="P14">INDEX(Y$14:Y$17,MATCH(1,AA$14:AA$17,0))</f>
        <v>4</v>
      </c>
      <c r="Q14" s="16" t="str">
        <f t="shared" ref="Q14:Q17" si="3">Q5</f>
        <v>Canadá</v>
      </c>
      <c r="R14" s="16">
        <f>((D5&lt;&gt;"")*( F5&lt;&gt;""))+((D8&lt;&gt;"")*( F8&lt;&gt;""))+((D9&lt;&gt;"")*( F9&lt;&gt;""))</f>
        <v>2</v>
      </c>
      <c r="S14" s="16">
        <f>IF(AND(D5&lt;&gt;"",F5&lt;&gt;""),IF(D5&gt;F5,1,0),0)+IF(AND(D8&lt;&gt;"",F8&lt;&gt;""),IF(D8&gt;F8,1,0),0)+IF(AND(D9&lt;&gt;"",F9&lt;&gt;""),IF(F9&gt;D9,1,0),0)</f>
        <v>1</v>
      </c>
      <c r="T14" s="16">
        <f>IF(AND(D5&lt;&gt;"",F5&lt;&gt;""),IF(D5=F5,1,0),0)+IF(AND(D8&lt;&gt;"",F8&lt;&gt;""),IF(D8=F8,1,0),0)+IF(AND(D9&lt;&gt;"",F9&lt;&gt;""),IF(D9=F9,1,0),0)</f>
        <v>1</v>
      </c>
      <c r="U14" s="16">
        <f>IF(AND(D5&lt;&gt;"",F5&lt;&gt;""),IF(D5&lt;F5,1,0),0)+IF(AND(D8&lt;&gt;"",F8&lt;&gt;""),IF(D8&lt;F8,1,0),0)+IF(AND(D9&lt;&gt;"",F9&lt;&gt;""),IF(F9&lt;D9,1,0),0)</f>
        <v>0</v>
      </c>
      <c r="V14" s="47">
        <f>IF(D5="",0,D5)+IF(D8="",0,D8)+IF(F9="",0,F9)</f>
        <v>7</v>
      </c>
      <c r="W14" s="47">
        <f>IF(F5="",0,F5)+IF(F8="",0,F8)+IF(D9="",0,D9)</f>
        <v>1</v>
      </c>
      <c r="X14" s="47">
        <f t="shared" ref="X14:X17" si="4">V14-W14</f>
        <v>6</v>
      </c>
      <c r="Y14" s="16">
        <f t="shared" ref="Y14:Y17" si="5">S14*3+T14</f>
        <v>4</v>
      </c>
      <c r="Z14" s="16">
        <f>Y14*1000000+(X14+100)*10000+V14*100+4</f>
        <v>5060704</v>
      </c>
      <c r="AA14" s="16">
        <f t="shared" ref="AA14:AA17" si="6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Suíça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1</v>
      </c>
      <c r="K15" s="44">
        <f t="array" ref="K15">INDEX(T$14:T$17,MATCH(2,AA$14:AA$17,0))</f>
        <v>1</v>
      </c>
      <c r="L15" s="44">
        <f t="array" ref="L15">INDEX(U$14:U$17,MATCH(2,AA$14:AA$17,0))</f>
        <v>0</v>
      </c>
      <c r="M15" s="45">
        <f t="array" ref="M15">INDEX(V$14:V$17,MATCH(2,AA$14:AA$17,0))</f>
        <v>5</v>
      </c>
      <c r="N15" s="45">
        <f t="array" ref="N15">INDEX(W$14:W$17,MATCH(2,AA$14:AA$17,0))</f>
        <v>2</v>
      </c>
      <c r="O15" s="45">
        <f t="array" ref="O15">INDEX(X$14:X$17,MATCH(2,AA$14:AA$17,0))</f>
        <v>3</v>
      </c>
      <c r="P15" s="46">
        <f t="array" ref="P15">INDEX(Y$14:Y$17,MATCH(2,AA$14:AA$17,0))</f>
        <v>4</v>
      </c>
      <c r="Q15" s="16" t="str">
        <f t="shared" si="3"/>
        <v>Bósnia-Herzegovina</v>
      </c>
      <c r="R15" s="16">
        <f>((D5&lt;&gt;"")*( F5&lt;&gt;""))+((D7&lt;&gt;"")*( F7&lt;&gt;""))+((D10&lt;&gt;"")*( F10&lt;&gt;""))</f>
        <v>2</v>
      </c>
      <c r="S15" s="16">
        <f>IF(AND(D5&lt;&gt;"",F5&lt;&gt;""),IF(F5&gt;D5,1,0),0)+IF(AND(D7&lt;&gt;"",F7&lt;&gt;""),IF(F7&gt;D7,1,0),0)+IF(AND(D10&lt;&gt;"",F10&lt;&gt;""),IF(D10&gt;F10,1,0),0)</f>
        <v>0</v>
      </c>
      <c r="T15" s="16">
        <f>IF(AND(D5&lt;&gt;"",F5&lt;&gt;""),IF(D5=F5,1,0),0)+IF(AND(D7&lt;&gt;"",F7&lt;&gt;""),IF(D7=F7,1,0),0)+IF(AND(D10&lt;&gt;"",F10&lt;&gt;""),IF(D10=F10,1,0),0)</f>
        <v>1</v>
      </c>
      <c r="U15" s="16">
        <f>IF(AND(D5&lt;&gt;"",F5&lt;&gt;""),IF(F5&lt;D5,1,0),0)+IF(AND(D7&lt;&gt;"",F7&lt;&gt;""),IF(F7&lt;D7,1,0),0)+IF(AND(D10&lt;&gt;"",F10&lt;&gt;""),IF(D10&lt;F10,1,0),0)</f>
        <v>1</v>
      </c>
      <c r="V15" s="47">
        <f>IF(F5="",0,F5)+IF(F7="",0,F7)+IF(D10="",0,D10)</f>
        <v>2</v>
      </c>
      <c r="W15" s="47">
        <f>IF(D5="",0,D5)+IF(D7="",0,D7)+IF(F10="",0,F10)</f>
        <v>5</v>
      </c>
      <c r="X15" s="47">
        <f t="shared" si="4"/>
        <v>-3</v>
      </c>
      <c r="Y15" s="16">
        <f t="shared" si="5"/>
        <v>1</v>
      </c>
      <c r="Z15" s="16">
        <f>Y15*1000000+(X15+100)*10000+V15*100+3</f>
        <v>1970203</v>
      </c>
      <c r="AA15" s="16">
        <f t="shared" si="6"/>
        <v>3</v>
      </c>
    </row>
    <row r="16" ht="21.75" customHeight="1">
      <c r="A16" s="48">
        <v>3.0</v>
      </c>
      <c r="B16" s="27" t="str">
        <f t="array" ref="B16">INDEX(Q$14:Q$17,MATCH(3,AA$14:AA$17,0))</f>
        <v>Bósnia-Herzegovina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0</v>
      </c>
      <c r="K16" s="44">
        <f t="array" ref="K16">INDEX(T$14:T$17,MATCH(3,AA$14:AA$17,0))</f>
        <v>1</v>
      </c>
      <c r="L16" s="44">
        <f t="array" ref="L16">INDEX(U$14:U$17,MATCH(3,AA$14:AA$17,0))</f>
        <v>1</v>
      </c>
      <c r="M16" s="45">
        <f t="array" ref="M16">INDEX(V$14:V$17,MATCH(3,AA$14:AA$17,0))</f>
        <v>2</v>
      </c>
      <c r="N16" s="45">
        <f t="array" ref="N16">INDEX(W$14:W$17,MATCH(3,AA$14:AA$17,0))</f>
        <v>5</v>
      </c>
      <c r="O16" s="45">
        <f t="array" ref="O16">INDEX(X$14:X$17,MATCH(3,AA$14:AA$17,0))</f>
        <v>-3</v>
      </c>
      <c r="P16" s="49">
        <f t="array" ref="P16">INDEX(Y$14:Y$17,MATCH(3,AA$14:AA$17,0))</f>
        <v>1</v>
      </c>
      <c r="Q16" s="16" t="str">
        <f t="shared" si="3"/>
        <v>Catar</v>
      </c>
      <c r="R16" s="16">
        <f>((D6&lt;&gt;"")*( F6&lt;&gt;""))+((D8&lt;&gt;"")*( F8&lt;&gt;""))+((D10&lt;&gt;"")*( F10&lt;&gt;""))</f>
        <v>2</v>
      </c>
      <c r="S16" s="16">
        <f>IF(AND(D6&lt;&gt;"",F6&lt;&gt;""),IF(D6&gt;F6,1,0),0)+IF(AND(D8&lt;&gt;"",F8&lt;&gt;""),IF(F8&gt;D8,1,0),0)+IF(AND(D10&lt;&gt;"",F10&lt;&gt;""),IF(F10&gt;D10,1,0),0)</f>
        <v>0</v>
      </c>
      <c r="T16" s="16">
        <f>IF(AND(D6&lt;&gt;"",F6&lt;&gt;""),IF(D6=F6,1,0),0)+IF(AND(D8&lt;&gt;"",F8&lt;&gt;""),IF(D8=F8,1,0),0)+IF(AND(D10&lt;&gt;"",F10&lt;&gt;""),IF(D10=F10,1,0),0)</f>
        <v>1</v>
      </c>
      <c r="U16" s="16">
        <f>IF(AND(D6&lt;&gt;"",F6&lt;&gt;""),IF(D6&lt;F6,1,0),0)+IF(AND(D8&lt;&gt;"",F8&lt;&gt;""),IF(F8&lt;D8,1,0),0)+IF(AND(D10&lt;&gt;"",F10&lt;&gt;""),IF(F10&lt;D10,1,0),0)</f>
        <v>1</v>
      </c>
      <c r="V16" s="47">
        <f>IF(D6="",0,D6)+IF(F8="",0,F8)+IF(F10="",0,F10)</f>
        <v>1</v>
      </c>
      <c r="W16" s="47">
        <f>IF(F6="",0,F6)+IF(D8="",0,D8)+IF(D10="",0,D10)</f>
        <v>7</v>
      </c>
      <c r="X16" s="47">
        <f t="shared" si="4"/>
        <v>-6</v>
      </c>
      <c r="Y16" s="16">
        <f t="shared" si="5"/>
        <v>1</v>
      </c>
      <c r="Z16" s="16">
        <f>Y16*1000000+(X16+100)*10000+V16*100+2</f>
        <v>1940102</v>
      </c>
      <c r="AA16" s="16">
        <f t="shared" si="6"/>
        <v>4</v>
      </c>
    </row>
    <row r="17" ht="21.75" customHeight="1">
      <c r="A17" s="50">
        <v>4.0</v>
      </c>
      <c r="B17" s="27" t="str">
        <f t="array" ref="B17">INDEX(Q$14:Q$17,MATCH(4,AA$14:AA$17,0))</f>
        <v>Catar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1</v>
      </c>
      <c r="L17" s="44">
        <f t="array" ref="L17">INDEX(U$14:U$17,MATCH(4,AA$14:AA$17,0))</f>
        <v>1</v>
      </c>
      <c r="M17" s="45">
        <f t="array" ref="M17">INDEX(V$14:V$17,MATCH(4,AA$14:AA$17,0))</f>
        <v>1</v>
      </c>
      <c r="N17" s="45">
        <f t="array" ref="N17">INDEX(W$14:W$17,MATCH(4,AA$14:AA$17,0))</f>
        <v>7</v>
      </c>
      <c r="O17" s="45">
        <f t="array" ref="O17">INDEX(X$14:X$17,MATCH(4,AA$14:AA$17,0))</f>
        <v>-6</v>
      </c>
      <c r="P17" s="51">
        <f t="array" ref="P17">INDEX(Y$14:Y$17,MATCH(4,AA$14:AA$17,0))</f>
        <v>1</v>
      </c>
      <c r="Q17" s="16" t="str">
        <f t="shared" si="3"/>
        <v>Suíça</v>
      </c>
      <c r="R17" s="16">
        <f>((D6&lt;&gt;"")*( F6&lt;&gt;""))+((D7&lt;&gt;"")*( F7&lt;&gt;""))+((D9&lt;&gt;"")*( F9&lt;&gt;""))</f>
        <v>2</v>
      </c>
      <c r="S17" s="16">
        <f>IF(AND(D6&lt;&gt;"",F6&lt;&gt;""),IF(F6&gt;D6,1,0),0)+IF(AND(D7&lt;&gt;"",F7&lt;&gt;""),IF(D7&gt;F7,1,0),0)+IF(AND(D9&lt;&gt;"",F9&lt;&gt;""),IF(D9&gt;F9,1,0),0)</f>
        <v>1</v>
      </c>
      <c r="T17" s="16">
        <f>IF(AND(D6&lt;&gt;"",F6&lt;&gt;""),IF(D6=F6,1,0),0)+IF(AND(D7&lt;&gt;"",F7&lt;&gt;""),IF(D7=F7,1,0),0)+IF(AND(D9&lt;&gt;"",F9&lt;&gt;""),IF(D9=F9,1,0),0)</f>
        <v>1</v>
      </c>
      <c r="U17" s="16">
        <f>IF(AND(D6&lt;&gt;"",F6&lt;&gt;""),IF(F6&lt;D6,1,0),0)+IF(AND(D7&lt;&gt;"",F7&lt;&gt;""),IF(D7&lt;F7,1,0),0)+IF(AND(D9&lt;&gt;"",F9&lt;&gt;""),IF(D9&lt;F9,1,0),0)</f>
        <v>0</v>
      </c>
      <c r="V17" s="47">
        <f>IF(F6="",0,F6)+IF(D7="",0,D7)+IF(D9="",0,D9)</f>
        <v>5</v>
      </c>
      <c r="W17" s="47">
        <f>IF(D6="",0,D6)+IF(F7="",0,F7)+IF(F9="",0,F9)</f>
        <v>2</v>
      </c>
      <c r="X17" s="47">
        <f t="shared" si="4"/>
        <v>3</v>
      </c>
      <c r="Y17" s="16">
        <f t="shared" si="5"/>
        <v>4</v>
      </c>
      <c r="Z17" s="16">
        <f>Y17*1000000+(X17+100)*10000+V17*100+1</f>
        <v>5030501</v>
      </c>
      <c r="AA17" s="16">
        <f t="shared" si="6"/>
        <v>2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C" location="'Gr-C'!A1" ref="O6"/>
    <hyperlink display="D" location="'Gr-D'!A1" ref="P6"/>
    <hyperlink display="E" location="'Gr-E'!A1" ref="M7"/>
    <hyperlink display="F" location="'Gr-F'!A1" ref="N7"/>
    <hyperlink display="G" location="'Gr-G'!A1" ref="O7"/>
    <hyperlink display="H" location="'Gr-H'!A1" ref="P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89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90</v>
      </c>
      <c r="B5" s="23" t="str">
        <f>Q5</f>
        <v>Brasil</v>
      </c>
      <c r="C5" s="24"/>
      <c r="D5" s="25">
        <v>1.0</v>
      </c>
      <c r="E5" s="26" t="s">
        <v>39</v>
      </c>
      <c r="F5" s="25">
        <v>1.0</v>
      </c>
      <c r="G5" s="24"/>
      <c r="H5" s="27" t="str">
        <f>Q6</f>
        <v>Marrocos</v>
      </c>
      <c r="I5" s="28" t="s">
        <v>91</v>
      </c>
      <c r="J5" s="20"/>
      <c r="K5" s="21"/>
      <c r="M5" s="29" t="s">
        <v>41</v>
      </c>
      <c r="N5" s="30"/>
      <c r="O5" s="30"/>
      <c r="P5" s="31"/>
      <c r="Q5" s="16" t="s">
        <v>92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93</v>
      </c>
      <c r="B6" s="33" t="str">
        <f t="shared" ref="B6:B7" si="1">Q7</f>
        <v>Haiti</v>
      </c>
      <c r="C6" s="34"/>
      <c r="D6" s="25">
        <v>0.0</v>
      </c>
      <c r="E6" s="35" t="s">
        <v>39</v>
      </c>
      <c r="F6" s="25">
        <v>1.0</v>
      </c>
      <c r="G6" s="34"/>
      <c r="H6" s="36" t="str">
        <f>Q8</f>
        <v>Escócia</v>
      </c>
      <c r="I6" s="37" t="s">
        <v>94</v>
      </c>
      <c r="J6" s="20"/>
      <c r="K6" s="21"/>
      <c r="M6" s="39" t="s">
        <v>45</v>
      </c>
      <c r="N6" s="39" t="s">
        <v>46</v>
      </c>
      <c r="O6" s="38" t="s">
        <v>47</v>
      </c>
      <c r="P6" s="39" t="s">
        <v>48</v>
      </c>
      <c r="Q6" s="16" t="s">
        <v>95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96</v>
      </c>
      <c r="B7" s="23" t="str">
        <f t="shared" si="1"/>
        <v>Escócia</v>
      </c>
      <c r="C7" s="24"/>
      <c r="D7" s="40">
        <v>0.0</v>
      </c>
      <c r="E7" s="26" t="s">
        <v>39</v>
      </c>
      <c r="F7" s="40">
        <v>1.0</v>
      </c>
      <c r="G7" s="24"/>
      <c r="H7" s="27" t="str">
        <f t="shared" ref="H7:H8" si="2">Q6</f>
        <v>Marrocos</v>
      </c>
      <c r="I7" s="28" t="s">
        <v>94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97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98</v>
      </c>
      <c r="B8" s="33" t="str">
        <f t="shared" ref="B8:B9" si="3">Q5</f>
        <v>Brasil</v>
      </c>
      <c r="C8" s="34"/>
      <c r="D8" s="40">
        <v>3.0</v>
      </c>
      <c r="E8" s="35" t="s">
        <v>39</v>
      </c>
      <c r="F8" s="40">
        <v>0.0</v>
      </c>
      <c r="G8" s="34"/>
      <c r="H8" s="36" t="str">
        <f t="shared" si="2"/>
        <v>Haiti</v>
      </c>
      <c r="I8" s="37" t="s">
        <v>99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100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101</v>
      </c>
      <c r="B9" s="23" t="str">
        <f t="shared" si="3"/>
        <v>Marrocos</v>
      </c>
      <c r="C9" s="24"/>
      <c r="D9" s="25"/>
      <c r="E9" s="26" t="s">
        <v>39</v>
      </c>
      <c r="F9" s="25"/>
      <c r="G9" s="24"/>
      <c r="H9" s="27" t="str">
        <f>Q7</f>
        <v>Haiti</v>
      </c>
      <c r="I9" s="28" t="s">
        <v>51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101</v>
      </c>
      <c r="B10" s="33" t="str">
        <f>Q8</f>
        <v>Escócia</v>
      </c>
      <c r="C10" s="34"/>
      <c r="D10" s="25"/>
      <c r="E10" s="35" t="s">
        <v>39</v>
      </c>
      <c r="F10" s="25"/>
      <c r="G10" s="34"/>
      <c r="H10" s="36" t="str">
        <f>Q5</f>
        <v>Brasil</v>
      </c>
      <c r="I10" s="37" t="s">
        <v>102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Brasil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1</v>
      </c>
      <c r="K14" s="44">
        <f t="array" ref="K14">INDEX(T$14:T$17,MATCH(1,AA$14:AA$17,0))</f>
        <v>1</v>
      </c>
      <c r="L14" s="44">
        <f t="array" ref="L14">INDEX(U$14:U$17,MATCH(1,AA$14:AA$17,0))</f>
        <v>0</v>
      </c>
      <c r="M14" s="45">
        <f t="array" ref="M14">INDEX(V$14:V$17,MATCH(1,AA$14:AA$17,0))</f>
        <v>4</v>
      </c>
      <c r="N14" s="45">
        <f t="array" ref="N14">INDEX(W$14:W$17,MATCH(1,AA$14:AA$17,0))</f>
        <v>1</v>
      </c>
      <c r="O14" s="45">
        <f t="array" ref="O14">INDEX(X$14:X$17,MATCH(1,AA$14:AA$17,0))</f>
        <v>3</v>
      </c>
      <c r="P14" s="46">
        <f t="array" ref="P14">INDEX(Y$14:Y$17,MATCH(1,AA$14:AA$17,0))</f>
        <v>4</v>
      </c>
      <c r="Q14" s="16" t="str">
        <f t="shared" ref="Q14:Q17" si="4">Q5</f>
        <v>Brasil</v>
      </c>
      <c r="R14" s="16">
        <f>((D5&lt;&gt;"")*( F5&lt;&gt;""))+((D8&lt;&gt;"")*( F8&lt;&gt;""))+((D10&lt;&gt;"")*( F10&lt;&gt;""))</f>
        <v>2</v>
      </c>
      <c r="S14" s="16">
        <f>IF(AND(D5&lt;&gt;"",F5&lt;&gt;""),IF(D5&gt;F5,1,0),0)+IF(AND(D8&lt;&gt;"",F8&lt;&gt;""),IF(D8&gt;F8,1,0),0)+IF(AND(D10&lt;&gt;"",F10&lt;&gt;""),IF(F10&gt;D10,1,0),0)</f>
        <v>1</v>
      </c>
      <c r="T14" s="16">
        <f>IF(AND(D5&lt;&gt;"",F5&lt;&gt;""),IF(D5=F5,1,0),0)+IF(AND(D8&lt;&gt;"",F8&lt;&gt;""),IF(D8=F8,1,0),0)+IF(AND(D10&lt;&gt;"",F10&lt;&gt;""),IF(D10=F10,1,0),0)</f>
        <v>1</v>
      </c>
      <c r="U14" s="16">
        <f>IF(AND(D5&lt;&gt;"",F5&lt;&gt;""),IF(D5&lt;F5,1,0),0)+IF(AND(D8&lt;&gt;"",F8&lt;&gt;""),IF(D8&lt;F8,1,0),0)+IF(AND(D10&lt;&gt;"",F10&lt;&gt;""),IF(F10&lt;D10,1,0),0)</f>
        <v>0</v>
      </c>
      <c r="V14" s="47">
        <f>IF(D5="",0,D5)+IF(D8="",0,D8)+IF(F10="",0,F10)</f>
        <v>4</v>
      </c>
      <c r="W14" s="47">
        <f>IF(F5="",0,F5)+IF(F8="",0,F8)+IF(D10="",0,D10)</f>
        <v>1</v>
      </c>
      <c r="X14" s="47">
        <f t="shared" ref="X14:X17" si="5">V14-W14</f>
        <v>3</v>
      </c>
      <c r="Y14" s="16">
        <f t="shared" ref="Y14:Y17" si="6">S14*3+T14</f>
        <v>4</v>
      </c>
      <c r="Z14" s="16">
        <f>Y14*1000000+(X14+100)*10000+V14*100+4</f>
        <v>5030404</v>
      </c>
      <c r="AA14" s="16">
        <f t="shared" ref="AA14:AA17" si="7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Marrocos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1</v>
      </c>
      <c r="K15" s="44">
        <f t="array" ref="K15">INDEX(T$14:T$17,MATCH(2,AA$14:AA$17,0))</f>
        <v>1</v>
      </c>
      <c r="L15" s="44">
        <f t="array" ref="L15">INDEX(U$14:U$17,MATCH(2,AA$14:AA$17,0))</f>
        <v>0</v>
      </c>
      <c r="M15" s="45">
        <f t="array" ref="M15">INDEX(V$14:V$17,MATCH(2,AA$14:AA$17,0))</f>
        <v>2</v>
      </c>
      <c r="N15" s="45">
        <f t="array" ref="N15">INDEX(W$14:W$17,MATCH(2,AA$14:AA$17,0))</f>
        <v>1</v>
      </c>
      <c r="O15" s="45">
        <f t="array" ref="O15">INDEX(X$14:X$17,MATCH(2,AA$14:AA$17,0))</f>
        <v>1</v>
      </c>
      <c r="P15" s="46">
        <f t="array" ref="P15">INDEX(Y$14:Y$17,MATCH(2,AA$14:AA$17,0))</f>
        <v>4</v>
      </c>
      <c r="Q15" s="16" t="str">
        <f t="shared" si="4"/>
        <v>Marrocos</v>
      </c>
      <c r="R15" s="16">
        <f>((D5&lt;&gt;"")*( F5&lt;&gt;""))+((D7&lt;&gt;"")*( F7&lt;&gt;""))+((D9&lt;&gt;"")*( F9&lt;&gt;""))</f>
        <v>2</v>
      </c>
      <c r="S15" s="16">
        <f>IF(AND(D5&lt;&gt;"",F5&lt;&gt;""),IF(F5&gt;D5,1,0),0)+IF(AND(D7&lt;&gt;"",F7&lt;&gt;""),IF(F7&gt;D7,1,0),0)+IF(AND(D9&lt;&gt;"",F9&lt;&gt;""),IF(D9&gt;F9,1,0),0)</f>
        <v>1</v>
      </c>
      <c r="T15" s="16">
        <f>IF(AND(D5&lt;&gt;"",F5&lt;&gt;""),IF(D5=F5,1,0),0)+IF(AND(D7&lt;&gt;"",F7&lt;&gt;""),IF(D7=F7,1,0),0)+IF(AND(D9&lt;&gt;"",F9&lt;&gt;""),IF(D9=F9,1,0),0)</f>
        <v>1</v>
      </c>
      <c r="U15" s="16">
        <f>IF(AND(D5&lt;&gt;"",F5&lt;&gt;""),IF(F5&lt;D5,1,0),0)+IF(AND(D7&lt;&gt;"",F7&lt;&gt;""),IF(F7&lt;D7,1,0),0)+IF(AND(D9&lt;&gt;"",F9&lt;&gt;""),IF(D9&lt;F9,1,0),0)</f>
        <v>0</v>
      </c>
      <c r="V15" s="47">
        <f>IF(F5="",0,F5)+IF(F7="",0,F7)+IF(D9="",0,D9)</f>
        <v>2</v>
      </c>
      <c r="W15" s="47">
        <f>IF(D5="",0,D5)+IF(D7="",0,D7)+IF(F9="",0,F9)</f>
        <v>1</v>
      </c>
      <c r="X15" s="47">
        <f t="shared" si="5"/>
        <v>1</v>
      </c>
      <c r="Y15" s="16">
        <f t="shared" si="6"/>
        <v>4</v>
      </c>
      <c r="Z15" s="16">
        <f>Y15*1000000+(X15+100)*10000+V15*100+3</f>
        <v>5010203</v>
      </c>
      <c r="AA15" s="16">
        <f t="shared" si="7"/>
        <v>2</v>
      </c>
    </row>
    <row r="16" ht="21.75" customHeight="1">
      <c r="A16" s="48">
        <v>3.0</v>
      </c>
      <c r="B16" s="27" t="str">
        <f t="array" ref="B16">INDEX(Q$14:Q$17,MATCH(3,AA$14:AA$17,0))</f>
        <v>Escócia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1</v>
      </c>
      <c r="K16" s="44">
        <f t="array" ref="K16">INDEX(T$14:T$17,MATCH(3,AA$14:AA$17,0))</f>
        <v>0</v>
      </c>
      <c r="L16" s="44">
        <f t="array" ref="L16">INDEX(U$14:U$17,MATCH(3,AA$14:AA$17,0))</f>
        <v>1</v>
      </c>
      <c r="M16" s="45">
        <f t="array" ref="M16">INDEX(V$14:V$17,MATCH(3,AA$14:AA$17,0))</f>
        <v>1</v>
      </c>
      <c r="N16" s="45">
        <f t="array" ref="N16">INDEX(W$14:W$17,MATCH(3,AA$14:AA$17,0))</f>
        <v>1</v>
      </c>
      <c r="O16" s="45">
        <f t="array" ref="O16">INDEX(X$14:X$17,MATCH(3,AA$14:AA$17,0))</f>
        <v>0</v>
      </c>
      <c r="P16" s="49">
        <f t="array" ref="P16">INDEX(Y$14:Y$17,MATCH(3,AA$14:AA$17,0))</f>
        <v>3</v>
      </c>
      <c r="Q16" s="16" t="str">
        <f t="shared" si="4"/>
        <v>Haiti</v>
      </c>
      <c r="R16" s="16">
        <f>((D6&lt;&gt;"")*( F6&lt;&gt;""))+((D8&lt;&gt;"")*( F8&lt;&gt;""))+((D9&lt;&gt;"")*( F9&lt;&gt;""))</f>
        <v>2</v>
      </c>
      <c r="S16" s="16">
        <f>IF(AND(D6&lt;&gt;"",F6&lt;&gt;""),IF(D6&gt;F6,1,0),0)+IF(AND(D8&lt;&gt;"",F8&lt;&gt;""),IF(F8&gt;D8,1,0),0)+IF(AND(D9&lt;&gt;"",F9&lt;&gt;""),IF(F9&gt;D9,1,0),0)</f>
        <v>0</v>
      </c>
      <c r="T16" s="16">
        <f>IF(AND(D6&lt;&gt;"",F6&lt;&gt;""),IF(D6=F6,1,0),0)+IF(AND(D8&lt;&gt;"",F8&lt;&gt;""),IF(D8=F8,1,0),0)+IF(AND(D9&lt;&gt;"",F9&lt;&gt;""),IF(D9=F9,1,0),0)</f>
        <v>0</v>
      </c>
      <c r="U16" s="16">
        <f>IF(AND(D6&lt;&gt;"",F6&lt;&gt;""),IF(D6&lt;F6,1,0),0)+IF(AND(D8&lt;&gt;"",F8&lt;&gt;""),IF(F8&lt;D8,1,0),0)+IF(AND(D9&lt;&gt;"",F9&lt;&gt;""),IF(F9&lt;D9,1,0),0)</f>
        <v>2</v>
      </c>
      <c r="V16" s="47">
        <f>IF(D6="",0,D6)+IF(F8="",0,F8)+IF(F9="",0,F9)</f>
        <v>0</v>
      </c>
      <c r="W16" s="47">
        <f>IF(F6="",0,F6)+IF(D8="",0,D8)+IF(D9="",0,D9)</f>
        <v>4</v>
      </c>
      <c r="X16" s="47">
        <f t="shared" si="5"/>
        <v>-4</v>
      </c>
      <c r="Y16" s="16">
        <f t="shared" si="6"/>
        <v>0</v>
      </c>
      <c r="Z16" s="16">
        <f>Y16*1000000+(X16+100)*10000+V16*100+2</f>
        <v>960002</v>
      </c>
      <c r="AA16" s="16">
        <f t="shared" si="7"/>
        <v>4</v>
      </c>
    </row>
    <row r="17" ht="21.75" customHeight="1">
      <c r="A17" s="50">
        <v>4.0</v>
      </c>
      <c r="B17" s="27" t="str">
        <f t="array" ref="B17">INDEX(Q$14:Q$17,MATCH(4,AA$14:AA$17,0))</f>
        <v>Haiti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0</v>
      </c>
      <c r="L17" s="44">
        <f t="array" ref="L17">INDEX(U$14:U$17,MATCH(4,AA$14:AA$17,0))</f>
        <v>2</v>
      </c>
      <c r="M17" s="45">
        <f t="array" ref="M17">INDEX(V$14:V$17,MATCH(4,AA$14:AA$17,0))</f>
        <v>0</v>
      </c>
      <c r="N17" s="45">
        <f t="array" ref="N17">INDEX(W$14:W$17,MATCH(4,AA$14:AA$17,0))</f>
        <v>4</v>
      </c>
      <c r="O17" s="45">
        <f t="array" ref="O17">INDEX(X$14:X$17,MATCH(4,AA$14:AA$17,0))</f>
        <v>-4</v>
      </c>
      <c r="P17" s="51">
        <f t="array" ref="P17">INDEX(Y$14:Y$17,MATCH(4,AA$14:AA$17,0))</f>
        <v>0</v>
      </c>
      <c r="Q17" s="16" t="str">
        <f t="shared" si="4"/>
        <v>Escócia</v>
      </c>
      <c r="R17" s="16">
        <f>((D6&lt;&gt;"")*( F6&lt;&gt;""))+((D7&lt;&gt;"")*( F7&lt;&gt;""))+((D10&lt;&gt;"")*( F10&lt;&gt;""))</f>
        <v>2</v>
      </c>
      <c r="S17" s="16">
        <f>IF(AND(D6&lt;&gt;"",F6&lt;&gt;""),IF(F6&gt;D6,1,0),0)+IF(AND(D7&lt;&gt;"",F7&lt;&gt;""),IF(D7&gt;F7,1,0),0)+IF(AND(D10&lt;&gt;"",F10&lt;&gt;""),IF(D10&gt;F10,1,0),0)</f>
        <v>1</v>
      </c>
      <c r="T17" s="16">
        <f>IF(AND(D6&lt;&gt;"",F6&lt;&gt;""),IF(D6=F6,1,0),0)+IF(AND(D7&lt;&gt;"",F7&lt;&gt;""),IF(D7=F7,1,0),0)+IF(AND(D10&lt;&gt;"",F10&lt;&gt;""),IF(D10=F10,1,0),0)</f>
        <v>0</v>
      </c>
      <c r="U17" s="16">
        <f>IF(AND(D6&lt;&gt;"",F6&lt;&gt;""),IF(F6&lt;D6,1,0),0)+IF(AND(D7&lt;&gt;"",F7&lt;&gt;""),IF(D7&lt;F7,1,0),0)+IF(AND(D10&lt;&gt;"",F10&lt;&gt;""),IF(D10&lt;F10,1,0),0)</f>
        <v>1</v>
      </c>
      <c r="V17" s="47">
        <f>IF(F6="",0,F6)+IF(D7="",0,D7)+IF(D10="",0,D10)</f>
        <v>1</v>
      </c>
      <c r="W17" s="47">
        <f>IF(D6="",0,D6)+IF(F7="",0,F7)+IF(F10="",0,F10)</f>
        <v>1</v>
      </c>
      <c r="X17" s="47">
        <f t="shared" si="5"/>
        <v>0</v>
      </c>
      <c r="Y17" s="16">
        <f t="shared" si="6"/>
        <v>3</v>
      </c>
      <c r="Z17" s="16">
        <f>Y17*1000000+(X17+100)*10000+V17*100+1</f>
        <v>4000101</v>
      </c>
      <c r="AA17" s="16">
        <f t="shared" si="7"/>
        <v>3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D" location="'Gr-D'!A1" ref="P6"/>
    <hyperlink display="E" location="'Gr-E'!A1" ref="M7"/>
    <hyperlink display="F" location="'Gr-F'!A1" ref="N7"/>
    <hyperlink display="G" location="'Gr-G'!A1" ref="O7"/>
    <hyperlink display="H" location="'Gr-H'!A1" ref="P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103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104</v>
      </c>
      <c r="B5" s="23" t="str">
        <f>Q5</f>
        <v>Estados Unidos</v>
      </c>
      <c r="C5" s="24"/>
      <c r="D5" s="25">
        <v>4.0</v>
      </c>
      <c r="E5" s="26" t="s">
        <v>39</v>
      </c>
      <c r="F5" s="25">
        <v>1.0</v>
      </c>
      <c r="G5" s="24"/>
      <c r="H5" s="27" t="str">
        <f>Q6</f>
        <v>Paraguai</v>
      </c>
      <c r="I5" s="28" t="s">
        <v>82</v>
      </c>
      <c r="J5" s="20"/>
      <c r="K5" s="21"/>
      <c r="M5" s="29" t="s">
        <v>41</v>
      </c>
      <c r="N5" s="30"/>
      <c r="O5" s="30"/>
      <c r="P5" s="31"/>
      <c r="Q5" s="16" t="s">
        <v>105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106</v>
      </c>
      <c r="B6" s="33" t="str">
        <f>Q7</f>
        <v>Austrália</v>
      </c>
      <c r="C6" s="34"/>
      <c r="D6" s="25">
        <v>2.0</v>
      </c>
      <c r="E6" s="35" t="s">
        <v>39</v>
      </c>
      <c r="F6" s="25">
        <v>0.0</v>
      </c>
      <c r="G6" s="34"/>
      <c r="H6" s="36" t="str">
        <f>Q8</f>
        <v>Turquia</v>
      </c>
      <c r="I6" s="37" t="s">
        <v>107</v>
      </c>
      <c r="J6" s="20"/>
      <c r="K6" s="21"/>
      <c r="M6" s="39" t="s">
        <v>45</v>
      </c>
      <c r="N6" s="39" t="s">
        <v>46</v>
      </c>
      <c r="O6" s="39" t="s">
        <v>47</v>
      </c>
      <c r="P6" s="38" t="s">
        <v>48</v>
      </c>
      <c r="Q6" s="16" t="s">
        <v>108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109</v>
      </c>
      <c r="B7" s="23" t="str">
        <f>Q5</f>
        <v>Estados Unidos</v>
      </c>
      <c r="C7" s="24"/>
      <c r="D7" s="40">
        <v>2.0</v>
      </c>
      <c r="E7" s="26" t="s">
        <v>39</v>
      </c>
      <c r="F7" s="40">
        <v>0.0</v>
      </c>
      <c r="G7" s="24"/>
      <c r="H7" s="27" t="str">
        <f>Q7</f>
        <v>Austrália</v>
      </c>
      <c r="I7" s="28" t="s">
        <v>88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110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111</v>
      </c>
      <c r="B8" s="33" t="str">
        <f>Q8</f>
        <v>Turquia</v>
      </c>
      <c r="C8" s="34"/>
      <c r="D8" s="40">
        <v>0.0</v>
      </c>
      <c r="E8" s="35" t="s">
        <v>39</v>
      </c>
      <c r="F8" s="40">
        <v>1.0</v>
      </c>
      <c r="G8" s="34"/>
      <c r="H8" s="36" t="str">
        <f>Q6</f>
        <v>Paraguai</v>
      </c>
      <c r="I8" s="37" t="s">
        <v>112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113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114</v>
      </c>
      <c r="B9" s="23" t="str">
        <f>Q8</f>
        <v>Turquia</v>
      </c>
      <c r="C9" s="24"/>
      <c r="D9" s="25"/>
      <c r="E9" s="26" t="s">
        <v>39</v>
      </c>
      <c r="F9" s="25"/>
      <c r="G9" s="24"/>
      <c r="H9" s="27" t="str">
        <f>Q5</f>
        <v>Estados Unidos</v>
      </c>
      <c r="I9" s="28" t="s">
        <v>82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114</v>
      </c>
      <c r="B10" s="33" t="str">
        <f>Q6</f>
        <v>Paraguai</v>
      </c>
      <c r="C10" s="34"/>
      <c r="D10" s="25"/>
      <c r="E10" s="35" t="s">
        <v>39</v>
      </c>
      <c r="F10" s="25"/>
      <c r="G10" s="34"/>
      <c r="H10" s="36" t="str">
        <f>Q7</f>
        <v>Austrália</v>
      </c>
      <c r="I10" s="37" t="s">
        <v>112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Estados Unidos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2</v>
      </c>
      <c r="K14" s="44">
        <f t="array" ref="K14">INDEX(T$14:T$17,MATCH(1,AA$14:AA$17,0))</f>
        <v>0</v>
      </c>
      <c r="L14" s="44">
        <f t="array" ref="L14">INDEX(U$14:U$17,MATCH(1,AA$14:AA$17,0))</f>
        <v>0</v>
      </c>
      <c r="M14" s="45">
        <f t="array" ref="M14">INDEX(V$14:V$17,MATCH(1,AA$14:AA$17,0))</f>
        <v>6</v>
      </c>
      <c r="N14" s="45">
        <f t="array" ref="N14">INDEX(W$14:W$17,MATCH(1,AA$14:AA$17,0))</f>
        <v>1</v>
      </c>
      <c r="O14" s="45">
        <f t="array" ref="O14">INDEX(X$14:X$17,MATCH(1,AA$14:AA$17,0))</f>
        <v>5</v>
      </c>
      <c r="P14" s="46">
        <f t="array" ref="P14">INDEX(Y$14:Y$17,MATCH(1,AA$14:AA$17,0))</f>
        <v>6</v>
      </c>
      <c r="Q14" s="16" t="str">
        <f t="shared" ref="Q14:Q17" si="1">Q5</f>
        <v>Estados Unidos</v>
      </c>
      <c r="R14" s="16">
        <f>((D5&lt;&gt;"")*( F5&lt;&gt;""))+((D7&lt;&gt;"")*( F7&lt;&gt;""))+((D9&lt;&gt;"")*( F9&lt;&gt;""))</f>
        <v>2</v>
      </c>
      <c r="S14" s="16">
        <f>IF(AND(D5&lt;&gt;"",F5&lt;&gt;""),IF(D5&gt;F5,1,0),0)+IF(AND(D7&lt;&gt;"",F7&lt;&gt;""),IF(D7&gt;F7,1,0),0)+IF(AND(D9&lt;&gt;"",F9&lt;&gt;""),IF(F9&gt;D9,1,0),0)</f>
        <v>2</v>
      </c>
      <c r="T14" s="16">
        <f>IF(AND(D5&lt;&gt;"",F5&lt;&gt;""),IF(D5=F5,1,0),0)+IF(AND(D7&lt;&gt;"",F7&lt;&gt;""),IF(D7=F7,1,0),0)+IF(AND(D9&lt;&gt;"",F9&lt;&gt;""),IF(D9=F9,1,0),0)</f>
        <v>0</v>
      </c>
      <c r="U14" s="16">
        <f>IF(AND(D5&lt;&gt;"",F5&lt;&gt;""),IF(D5&lt;F5,1,0),0)+IF(AND(D7&lt;&gt;"",F7&lt;&gt;""),IF(D7&lt;F7,1,0),0)+IF(AND(D9&lt;&gt;"",F9&lt;&gt;""),IF(F9&lt;D9,1,0),0)</f>
        <v>0</v>
      </c>
      <c r="V14" s="47">
        <f>IF(D5="",0,D5)+IF(D7="",0,D7)+IF(F9="",0,F9)</f>
        <v>6</v>
      </c>
      <c r="W14" s="47">
        <f>IF(F5="",0,F5)+IF(F7="",0,F7)+IF(D9="",0,D9)</f>
        <v>1</v>
      </c>
      <c r="X14" s="47">
        <f t="shared" ref="X14:X17" si="2">V14-W14</f>
        <v>5</v>
      </c>
      <c r="Y14" s="16">
        <f t="shared" ref="Y14:Y17" si="3">S14*3+T14</f>
        <v>6</v>
      </c>
      <c r="Z14" s="16">
        <f>Y14*1000000+(X14+100)*10000+V14*100+4</f>
        <v>7050604</v>
      </c>
      <c r="AA14" s="16">
        <f t="shared" ref="AA14:AA17" si="4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Austrália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1</v>
      </c>
      <c r="K15" s="44">
        <f t="array" ref="K15">INDEX(T$14:T$17,MATCH(2,AA$14:AA$17,0))</f>
        <v>0</v>
      </c>
      <c r="L15" s="44">
        <f t="array" ref="L15">INDEX(U$14:U$17,MATCH(2,AA$14:AA$17,0))</f>
        <v>1</v>
      </c>
      <c r="M15" s="45">
        <f t="array" ref="M15">INDEX(V$14:V$17,MATCH(2,AA$14:AA$17,0))</f>
        <v>2</v>
      </c>
      <c r="N15" s="45">
        <f t="array" ref="N15">INDEX(W$14:W$17,MATCH(2,AA$14:AA$17,0))</f>
        <v>2</v>
      </c>
      <c r="O15" s="45">
        <f t="array" ref="O15">INDEX(X$14:X$17,MATCH(2,AA$14:AA$17,0))</f>
        <v>0</v>
      </c>
      <c r="P15" s="46">
        <f t="array" ref="P15">INDEX(Y$14:Y$17,MATCH(2,AA$14:AA$17,0))</f>
        <v>3</v>
      </c>
      <c r="Q15" s="16" t="str">
        <f t="shared" si="1"/>
        <v>Paraguai</v>
      </c>
      <c r="R15" s="16">
        <f>((D5&lt;&gt;"")*( F5&lt;&gt;""))+((D8&lt;&gt;"")*( F8&lt;&gt;""))+((D10&lt;&gt;"")*( F10&lt;&gt;""))</f>
        <v>2</v>
      </c>
      <c r="S15" s="16">
        <f>IF(AND(D5&lt;&gt;"",F5&lt;&gt;""),IF(F5&gt;D5,1,0),0)+IF(AND(D8&lt;&gt;"",F8&lt;&gt;""),IF(F8&gt;D8,1,0),0)+IF(AND(D10&lt;&gt;"",F10&lt;&gt;""),IF(D10&gt;F10,1,0),0)</f>
        <v>1</v>
      </c>
      <c r="T15" s="16">
        <f>IF(AND(D5&lt;&gt;"",F5&lt;&gt;""),IF(D5=F5,1,0),0)+IF(AND(D8&lt;&gt;"",F8&lt;&gt;""),IF(D8=F8,1,0),0)+IF(AND(D10&lt;&gt;"",F10&lt;&gt;""),IF(D10=F10,1,0),0)</f>
        <v>0</v>
      </c>
      <c r="U15" s="16">
        <f>IF(AND(D5&lt;&gt;"",F5&lt;&gt;""),IF(F5&lt;D5,1,0),0)+IF(AND(D8&lt;&gt;"",F8&lt;&gt;""),IF(F8&lt;D8,1,0),0)+IF(AND(D10&lt;&gt;"",F10&lt;&gt;""),IF(D10&lt;F10,1,0),0)</f>
        <v>1</v>
      </c>
      <c r="V15" s="47">
        <f>IF(F5="",0,F5)+IF(F8="",0,F8)+IF(D10="",0,D10)</f>
        <v>2</v>
      </c>
      <c r="W15" s="47">
        <f>IF(D5="",0,D5)+IF(D8="",0,D8)+IF(F10="",0,F10)</f>
        <v>4</v>
      </c>
      <c r="X15" s="47">
        <f t="shared" si="2"/>
        <v>-2</v>
      </c>
      <c r="Y15" s="16">
        <f t="shared" si="3"/>
        <v>3</v>
      </c>
      <c r="Z15" s="16">
        <f>Y15*1000000+(X15+100)*10000+V15*100+3</f>
        <v>3980203</v>
      </c>
      <c r="AA15" s="16">
        <f t="shared" si="4"/>
        <v>3</v>
      </c>
    </row>
    <row r="16" ht="21.75" customHeight="1">
      <c r="A16" s="48">
        <v>3.0</v>
      </c>
      <c r="B16" s="27" t="str">
        <f t="array" ref="B16">INDEX(Q$14:Q$17,MATCH(3,AA$14:AA$17,0))</f>
        <v>Paraguai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1</v>
      </c>
      <c r="K16" s="44">
        <f t="array" ref="K16">INDEX(T$14:T$17,MATCH(3,AA$14:AA$17,0))</f>
        <v>0</v>
      </c>
      <c r="L16" s="44">
        <f t="array" ref="L16">INDEX(U$14:U$17,MATCH(3,AA$14:AA$17,0))</f>
        <v>1</v>
      </c>
      <c r="M16" s="45">
        <f t="array" ref="M16">INDEX(V$14:V$17,MATCH(3,AA$14:AA$17,0))</f>
        <v>2</v>
      </c>
      <c r="N16" s="45">
        <f t="array" ref="N16">INDEX(W$14:W$17,MATCH(3,AA$14:AA$17,0))</f>
        <v>4</v>
      </c>
      <c r="O16" s="45">
        <f t="array" ref="O16">INDEX(X$14:X$17,MATCH(3,AA$14:AA$17,0))</f>
        <v>-2</v>
      </c>
      <c r="P16" s="49">
        <f t="array" ref="P16">INDEX(Y$14:Y$17,MATCH(3,AA$14:AA$17,0))</f>
        <v>3</v>
      </c>
      <c r="Q16" s="16" t="str">
        <f t="shared" si="1"/>
        <v>Austrália</v>
      </c>
      <c r="R16" s="16">
        <f>((D6&lt;&gt;"")*( F6&lt;&gt;""))+((D7&lt;&gt;"")*( F7&lt;&gt;""))+((D10&lt;&gt;"")*( F10&lt;&gt;""))</f>
        <v>2</v>
      </c>
      <c r="S16" s="16">
        <f>IF(AND(D6&lt;&gt;"",F6&lt;&gt;""),IF(D6&gt;F6,1,0),0)+IF(AND(D7&lt;&gt;"",F7&lt;&gt;""),IF(F7&gt;D7,1,0),0)+IF(AND(D10&lt;&gt;"",F10&lt;&gt;""),IF(F10&gt;D10,1,0),0)</f>
        <v>1</v>
      </c>
      <c r="T16" s="16">
        <f>IF(AND(D6&lt;&gt;"",F6&lt;&gt;""),IF(D6=F6,1,0),0)+IF(AND(D7&lt;&gt;"",F7&lt;&gt;""),IF(D7=F7,1,0),0)+IF(AND(D10&lt;&gt;"",F10&lt;&gt;""),IF(D10=F10,1,0),0)</f>
        <v>0</v>
      </c>
      <c r="U16" s="16">
        <f>IF(AND(D6&lt;&gt;"",F6&lt;&gt;""),IF(D6&lt;F6,1,0),0)+IF(AND(D7&lt;&gt;"",F7&lt;&gt;""),IF(F7&lt;D7,1,0),0)+IF(AND(D10&lt;&gt;"",F10&lt;&gt;""),IF(F10&lt;D10,1,0),0)</f>
        <v>1</v>
      </c>
      <c r="V16" s="47">
        <f>IF(D6="",0,D6)+IF(F7="",0,F7)+IF(F10="",0,F10)</f>
        <v>2</v>
      </c>
      <c r="W16" s="47">
        <f>IF(F6="",0,F6)+IF(D7="",0,D7)+IF(D10="",0,D10)</f>
        <v>2</v>
      </c>
      <c r="X16" s="47">
        <f t="shared" si="2"/>
        <v>0</v>
      </c>
      <c r="Y16" s="16">
        <f t="shared" si="3"/>
        <v>3</v>
      </c>
      <c r="Z16" s="16">
        <f>Y16*1000000+(X16+100)*10000+V16*100+2</f>
        <v>4000202</v>
      </c>
      <c r="AA16" s="16">
        <f t="shared" si="4"/>
        <v>2</v>
      </c>
    </row>
    <row r="17" ht="21.75" customHeight="1">
      <c r="A17" s="50">
        <v>4.0</v>
      </c>
      <c r="B17" s="27" t="str">
        <f t="array" ref="B17">INDEX(Q$14:Q$17,MATCH(4,AA$14:AA$17,0))</f>
        <v>Turquia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0</v>
      </c>
      <c r="L17" s="44">
        <f t="array" ref="L17">INDEX(U$14:U$17,MATCH(4,AA$14:AA$17,0))</f>
        <v>2</v>
      </c>
      <c r="M17" s="45">
        <f t="array" ref="M17">INDEX(V$14:V$17,MATCH(4,AA$14:AA$17,0))</f>
        <v>0</v>
      </c>
      <c r="N17" s="45">
        <f t="array" ref="N17">INDEX(W$14:W$17,MATCH(4,AA$14:AA$17,0))</f>
        <v>3</v>
      </c>
      <c r="O17" s="45">
        <f t="array" ref="O17">INDEX(X$14:X$17,MATCH(4,AA$14:AA$17,0))</f>
        <v>-3</v>
      </c>
      <c r="P17" s="51">
        <f t="array" ref="P17">INDEX(Y$14:Y$17,MATCH(4,AA$14:AA$17,0))</f>
        <v>0</v>
      </c>
      <c r="Q17" s="16" t="str">
        <f t="shared" si="1"/>
        <v>Turquia</v>
      </c>
      <c r="R17" s="16">
        <f>((D6&lt;&gt;"")*( F6&lt;&gt;""))+((D8&lt;&gt;"")*( F8&lt;&gt;""))+((D9&lt;&gt;"")*( F9&lt;&gt;""))</f>
        <v>2</v>
      </c>
      <c r="S17" s="16">
        <f>IF(AND(D6&lt;&gt;"",F6&lt;&gt;""),IF(F6&gt;D6,1,0),0)+IF(AND(D8&lt;&gt;"",F8&lt;&gt;""),IF(D8&gt;F8,1,0),0)+IF(AND(D9&lt;&gt;"",F9&lt;&gt;""),IF(D9&gt;F9,1,0),0)</f>
        <v>0</v>
      </c>
      <c r="T17" s="16">
        <f>IF(AND(D6&lt;&gt;"",F6&lt;&gt;""),IF(D6=F6,1,0),0)+IF(AND(D8&lt;&gt;"",F8&lt;&gt;""),IF(D8=F8,1,0),0)+IF(AND(D9&lt;&gt;"",F9&lt;&gt;""),IF(D9=F9,1,0),0)</f>
        <v>0</v>
      </c>
      <c r="U17" s="16">
        <f>IF(AND(D6&lt;&gt;"",F6&lt;&gt;""),IF(F6&lt;D6,1,0),0)+IF(AND(D8&lt;&gt;"",F8&lt;&gt;""),IF(D8&lt;F8,1,0),0)+IF(AND(D9&lt;&gt;"",F9&lt;&gt;""),IF(D9&lt;F9,1,0),0)</f>
        <v>2</v>
      </c>
      <c r="V17" s="47">
        <f>IF(F6="",0,F6)+IF(D8="",0,D8)+IF(D9="",0,D9)</f>
        <v>0</v>
      </c>
      <c r="W17" s="47">
        <f>IF(D6="",0,D6)+IF(F8="",0,F8)+IF(F9="",0,F9)</f>
        <v>3</v>
      </c>
      <c r="X17" s="47">
        <f t="shared" si="2"/>
        <v>-3</v>
      </c>
      <c r="Y17" s="16">
        <f t="shared" si="3"/>
        <v>0</v>
      </c>
      <c r="Z17" s="16">
        <f>Y17*1000000+(X17+100)*10000+V17*100+1</f>
        <v>970001</v>
      </c>
      <c r="AA17" s="16">
        <f t="shared" si="4"/>
        <v>4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E" location="'Gr-E'!A1" ref="M7"/>
    <hyperlink display="F" location="'Gr-F'!A1" ref="N7"/>
    <hyperlink display="G" location="'Gr-G'!A1" ref="O7"/>
    <hyperlink display="H" location="'Gr-H'!A1" ref="P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1C11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116</v>
      </c>
      <c r="B5" s="23" t="str">
        <f>Q5</f>
        <v>Alemanha</v>
      </c>
      <c r="C5" s="24"/>
      <c r="D5" s="25">
        <v>7.0</v>
      </c>
      <c r="E5" s="26" t="s">
        <v>39</v>
      </c>
      <c r="F5" s="25">
        <v>1.0</v>
      </c>
      <c r="G5" s="24"/>
      <c r="H5" s="27" t="str">
        <f>Q6</f>
        <v>Curaçao</v>
      </c>
      <c r="I5" s="28" t="s">
        <v>117</v>
      </c>
      <c r="J5" s="20"/>
      <c r="K5" s="21"/>
      <c r="M5" s="29" t="s">
        <v>41</v>
      </c>
      <c r="N5" s="30"/>
      <c r="O5" s="30"/>
      <c r="P5" s="31"/>
      <c r="Q5" s="16" t="s">
        <v>118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119</v>
      </c>
      <c r="B6" s="33" t="str">
        <f>Q7</f>
        <v>Costa do Marfim</v>
      </c>
      <c r="C6" s="34"/>
      <c r="D6" s="25">
        <v>1.0</v>
      </c>
      <c r="E6" s="35" t="s">
        <v>39</v>
      </c>
      <c r="F6" s="25">
        <v>0.0</v>
      </c>
      <c r="G6" s="34"/>
      <c r="H6" s="36" t="str">
        <f>Q8</f>
        <v>Equador</v>
      </c>
      <c r="I6" s="37" t="s">
        <v>99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120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121</v>
      </c>
      <c r="B7" s="23" t="str">
        <f>Q5</f>
        <v>Alemanha</v>
      </c>
      <c r="C7" s="24"/>
      <c r="D7" s="40">
        <v>2.0</v>
      </c>
      <c r="E7" s="26" t="s">
        <v>39</v>
      </c>
      <c r="F7" s="40">
        <v>1.0</v>
      </c>
      <c r="G7" s="24"/>
      <c r="H7" s="27" t="str">
        <f>Q7</f>
        <v>Costa do Marfim</v>
      </c>
      <c r="I7" s="28" t="s">
        <v>122</v>
      </c>
      <c r="J7" s="20"/>
      <c r="K7" s="21"/>
      <c r="M7" s="38" t="s">
        <v>52</v>
      </c>
      <c r="N7" s="39" t="s">
        <v>53</v>
      </c>
      <c r="O7" s="39" t="s">
        <v>54</v>
      </c>
      <c r="P7" s="39" t="s">
        <v>55</v>
      </c>
      <c r="Q7" s="16" t="s">
        <v>123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124</v>
      </c>
      <c r="B8" s="33" t="str">
        <f>Q8</f>
        <v>Equador</v>
      </c>
      <c r="C8" s="34"/>
      <c r="D8" s="40">
        <v>0.0</v>
      </c>
      <c r="E8" s="35" t="s">
        <v>39</v>
      </c>
      <c r="F8" s="40">
        <v>0.0</v>
      </c>
      <c r="G8" s="34"/>
      <c r="H8" s="36" t="str">
        <f t="shared" ref="H8:H9" si="1">Q6</f>
        <v>Curaçao</v>
      </c>
      <c r="I8" s="37" t="s">
        <v>125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126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127</v>
      </c>
      <c r="B9" s="23" t="str">
        <f>Q6</f>
        <v>Curaçao</v>
      </c>
      <c r="C9" s="24"/>
      <c r="D9" s="25"/>
      <c r="E9" s="26" t="s">
        <v>39</v>
      </c>
      <c r="F9" s="25"/>
      <c r="G9" s="24"/>
      <c r="H9" s="27" t="str">
        <f t="shared" si="1"/>
        <v>Costa do Marfim</v>
      </c>
      <c r="I9" s="28" t="s">
        <v>99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127</v>
      </c>
      <c r="B10" s="33" t="str">
        <f>Q8</f>
        <v>Equador</v>
      </c>
      <c r="C10" s="34"/>
      <c r="D10" s="25"/>
      <c r="E10" s="35" t="s">
        <v>39</v>
      </c>
      <c r="F10" s="25"/>
      <c r="G10" s="34"/>
      <c r="H10" s="36" t="str">
        <f>Q5</f>
        <v>Alemanha</v>
      </c>
      <c r="I10" s="37" t="s">
        <v>91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Alemanha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2</v>
      </c>
      <c r="K14" s="44">
        <f t="array" ref="K14">INDEX(T$14:T$17,MATCH(1,AA$14:AA$17,0))</f>
        <v>0</v>
      </c>
      <c r="L14" s="44">
        <f t="array" ref="L14">INDEX(U$14:U$17,MATCH(1,AA$14:AA$17,0))</f>
        <v>0</v>
      </c>
      <c r="M14" s="45">
        <f t="array" ref="M14">INDEX(V$14:V$17,MATCH(1,AA$14:AA$17,0))</f>
        <v>9</v>
      </c>
      <c r="N14" s="45">
        <f t="array" ref="N14">INDEX(W$14:W$17,MATCH(1,AA$14:AA$17,0))</f>
        <v>2</v>
      </c>
      <c r="O14" s="45">
        <f t="array" ref="O14">INDEX(X$14:X$17,MATCH(1,AA$14:AA$17,0))</f>
        <v>7</v>
      </c>
      <c r="P14" s="46">
        <f t="array" ref="P14">INDEX(Y$14:Y$17,MATCH(1,AA$14:AA$17,0))</f>
        <v>6</v>
      </c>
      <c r="Q14" s="16" t="str">
        <f t="shared" ref="Q14:Q17" si="2">Q5</f>
        <v>Alemanha</v>
      </c>
      <c r="R14" s="16">
        <f>((D5&lt;&gt;"")*( F5&lt;&gt;""))+((D7&lt;&gt;"")*( F7&lt;&gt;""))+((D10&lt;&gt;"")*( F10&lt;&gt;""))</f>
        <v>2</v>
      </c>
      <c r="S14" s="16">
        <f>IF(AND(D5&lt;&gt;"",F5&lt;&gt;""),IF(D5&gt;F5,1,0),0)+IF(AND(D7&lt;&gt;"",F7&lt;&gt;""),IF(D7&gt;F7,1,0),0)+IF(AND(D10&lt;&gt;"",F10&lt;&gt;""),IF(F10&gt;D10,1,0),0)</f>
        <v>2</v>
      </c>
      <c r="T14" s="16">
        <f>IF(AND(D5&lt;&gt;"",F5&lt;&gt;""),IF(D5=F5,1,0),0)+IF(AND(D7&lt;&gt;"",F7&lt;&gt;""),IF(D7=F7,1,0),0)+IF(AND(D10&lt;&gt;"",F10&lt;&gt;""),IF(D10=F10,1,0),0)</f>
        <v>0</v>
      </c>
      <c r="U14" s="16">
        <f>IF(AND(D5&lt;&gt;"",F5&lt;&gt;""),IF(D5&lt;F5,1,0),0)+IF(AND(D7&lt;&gt;"",F7&lt;&gt;""),IF(D7&lt;F7,1,0),0)+IF(AND(D10&lt;&gt;"",F10&lt;&gt;""),IF(F10&lt;D10,1,0),0)</f>
        <v>0</v>
      </c>
      <c r="V14" s="47">
        <f>IF(D5="",0,D5)+IF(D7="",0,D7)+IF(F10="",0,F10)</f>
        <v>9</v>
      </c>
      <c r="W14" s="47">
        <f>IF(F5="",0,F5)+IF(F7="",0,F7)+IF(D10="",0,D10)</f>
        <v>2</v>
      </c>
      <c r="X14" s="47">
        <f t="shared" ref="X14:X17" si="3">V14-W14</f>
        <v>7</v>
      </c>
      <c r="Y14" s="16">
        <f t="shared" ref="Y14:Y17" si="4">S14*3+T14</f>
        <v>6</v>
      </c>
      <c r="Z14" s="16">
        <f>Y14*1000000+(X14+100)*10000+V14*100+4</f>
        <v>7070904</v>
      </c>
      <c r="AA14" s="16">
        <f t="shared" ref="AA14:AA17" si="5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Costa do Marfim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1</v>
      </c>
      <c r="K15" s="44">
        <f t="array" ref="K15">INDEX(T$14:T$17,MATCH(2,AA$14:AA$17,0))</f>
        <v>0</v>
      </c>
      <c r="L15" s="44">
        <f t="array" ref="L15">INDEX(U$14:U$17,MATCH(2,AA$14:AA$17,0))</f>
        <v>1</v>
      </c>
      <c r="M15" s="45">
        <f t="array" ref="M15">INDEX(V$14:V$17,MATCH(2,AA$14:AA$17,0))</f>
        <v>2</v>
      </c>
      <c r="N15" s="45">
        <f t="array" ref="N15">INDEX(W$14:W$17,MATCH(2,AA$14:AA$17,0))</f>
        <v>2</v>
      </c>
      <c r="O15" s="45">
        <f t="array" ref="O15">INDEX(X$14:X$17,MATCH(2,AA$14:AA$17,0))</f>
        <v>0</v>
      </c>
      <c r="P15" s="46">
        <f t="array" ref="P15">INDEX(Y$14:Y$17,MATCH(2,AA$14:AA$17,0))</f>
        <v>3</v>
      </c>
      <c r="Q15" s="16" t="str">
        <f t="shared" si="2"/>
        <v>Curaçao</v>
      </c>
      <c r="R15" s="16">
        <f>((D5&lt;&gt;"")*( F5&lt;&gt;""))+((D8&lt;&gt;"")*( F8&lt;&gt;""))+((D9&lt;&gt;"")*( F9&lt;&gt;""))</f>
        <v>2</v>
      </c>
      <c r="S15" s="16">
        <f>IF(AND(D5&lt;&gt;"",F5&lt;&gt;""),IF(F5&gt;D5,1,0),0)+IF(AND(D8&lt;&gt;"",F8&lt;&gt;""),IF(F8&gt;D8,1,0),0)+IF(AND(D9&lt;&gt;"",F9&lt;&gt;""),IF(D9&gt;F9,1,0),0)</f>
        <v>0</v>
      </c>
      <c r="T15" s="16">
        <f>IF(AND(D5&lt;&gt;"",F5&lt;&gt;""),IF(D5=F5,1,0),0)+IF(AND(D8&lt;&gt;"",F8&lt;&gt;""),IF(D8=F8,1,0),0)+IF(AND(D9&lt;&gt;"",F9&lt;&gt;""),IF(D9=F9,1,0),0)</f>
        <v>1</v>
      </c>
      <c r="U15" s="16">
        <f>IF(AND(D5&lt;&gt;"",F5&lt;&gt;""),IF(F5&lt;D5,1,0),0)+IF(AND(D8&lt;&gt;"",F8&lt;&gt;""),IF(F8&lt;D8,1,0),0)+IF(AND(D9&lt;&gt;"",F9&lt;&gt;""),IF(D9&lt;F9,1,0),0)</f>
        <v>1</v>
      </c>
      <c r="V15" s="47">
        <f>IF(F5="",0,F5)+IF(F8="",0,F8)+IF(D9="",0,D9)</f>
        <v>1</v>
      </c>
      <c r="W15" s="47">
        <f>IF(D5="",0,D5)+IF(D8="",0,D8)+IF(F9="",0,F9)</f>
        <v>7</v>
      </c>
      <c r="X15" s="47">
        <f t="shared" si="3"/>
        <v>-6</v>
      </c>
      <c r="Y15" s="16">
        <f t="shared" si="4"/>
        <v>1</v>
      </c>
      <c r="Z15" s="16">
        <f>Y15*1000000+(X15+100)*10000+V15*100+3</f>
        <v>1940103</v>
      </c>
      <c r="AA15" s="16">
        <f t="shared" si="5"/>
        <v>4</v>
      </c>
    </row>
    <row r="16" ht="21.75" customHeight="1">
      <c r="A16" s="48">
        <v>3.0</v>
      </c>
      <c r="B16" s="27" t="str">
        <f t="array" ref="B16">INDEX(Q$14:Q$17,MATCH(3,AA$14:AA$17,0))</f>
        <v>Equador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0</v>
      </c>
      <c r="K16" s="44">
        <f t="array" ref="K16">INDEX(T$14:T$17,MATCH(3,AA$14:AA$17,0))</f>
        <v>1</v>
      </c>
      <c r="L16" s="44">
        <f t="array" ref="L16">INDEX(U$14:U$17,MATCH(3,AA$14:AA$17,0))</f>
        <v>1</v>
      </c>
      <c r="M16" s="45">
        <f t="array" ref="M16">INDEX(V$14:V$17,MATCH(3,AA$14:AA$17,0))</f>
        <v>0</v>
      </c>
      <c r="N16" s="45">
        <f t="array" ref="N16">INDEX(W$14:W$17,MATCH(3,AA$14:AA$17,0))</f>
        <v>1</v>
      </c>
      <c r="O16" s="45">
        <f t="array" ref="O16">INDEX(X$14:X$17,MATCH(3,AA$14:AA$17,0))</f>
        <v>-1</v>
      </c>
      <c r="P16" s="49">
        <f t="array" ref="P16">INDEX(Y$14:Y$17,MATCH(3,AA$14:AA$17,0))</f>
        <v>1</v>
      </c>
      <c r="Q16" s="16" t="str">
        <f t="shared" si="2"/>
        <v>Costa do Marfim</v>
      </c>
      <c r="R16" s="16">
        <f>((D6&lt;&gt;"")*( F6&lt;&gt;""))+((D7&lt;&gt;"")*( F7&lt;&gt;""))+((D9&lt;&gt;"")*( F9&lt;&gt;""))</f>
        <v>2</v>
      </c>
      <c r="S16" s="16">
        <f>IF(AND(D6&lt;&gt;"",F6&lt;&gt;""),IF(D6&gt;F6,1,0),0)+IF(AND(D7&lt;&gt;"",F7&lt;&gt;""),IF(F7&gt;D7,1,0),0)+IF(AND(D9&lt;&gt;"",F9&lt;&gt;""),IF(F9&gt;D9,1,0),0)</f>
        <v>1</v>
      </c>
      <c r="T16" s="16">
        <f>IF(AND(D6&lt;&gt;"",F6&lt;&gt;""),IF(D6=F6,1,0),0)+IF(AND(D7&lt;&gt;"",F7&lt;&gt;""),IF(D7=F7,1,0),0)+IF(AND(D9&lt;&gt;"",F9&lt;&gt;""),IF(D9=F9,1,0),0)</f>
        <v>0</v>
      </c>
      <c r="U16" s="16">
        <f>IF(AND(D6&lt;&gt;"",F6&lt;&gt;""),IF(D6&lt;F6,1,0),0)+IF(AND(D7&lt;&gt;"",F7&lt;&gt;""),IF(F7&lt;D7,1,0),0)+IF(AND(D9&lt;&gt;"",F9&lt;&gt;""),IF(F9&lt;D9,1,0),0)</f>
        <v>1</v>
      </c>
      <c r="V16" s="47">
        <f>IF(D6="",0,D6)+IF(F7="",0,F7)+IF(F9="",0,F9)</f>
        <v>2</v>
      </c>
      <c r="W16" s="47">
        <f>IF(F6="",0,F6)+IF(D7="",0,D7)+IF(D9="",0,D9)</f>
        <v>2</v>
      </c>
      <c r="X16" s="47">
        <f t="shared" si="3"/>
        <v>0</v>
      </c>
      <c r="Y16" s="16">
        <f t="shared" si="4"/>
        <v>3</v>
      </c>
      <c r="Z16" s="16">
        <f>Y16*1000000+(X16+100)*10000+V16*100+2</f>
        <v>4000202</v>
      </c>
      <c r="AA16" s="16">
        <f t="shared" si="5"/>
        <v>2</v>
      </c>
    </row>
    <row r="17" ht="21.75" customHeight="1">
      <c r="A17" s="50">
        <v>4.0</v>
      </c>
      <c r="B17" s="27" t="str">
        <f t="array" ref="B17">INDEX(Q$14:Q$17,MATCH(4,AA$14:AA$17,0))</f>
        <v>Curaçao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1</v>
      </c>
      <c r="L17" s="44">
        <f t="array" ref="L17">INDEX(U$14:U$17,MATCH(4,AA$14:AA$17,0))</f>
        <v>1</v>
      </c>
      <c r="M17" s="45">
        <f t="array" ref="M17">INDEX(V$14:V$17,MATCH(4,AA$14:AA$17,0))</f>
        <v>1</v>
      </c>
      <c r="N17" s="45">
        <f t="array" ref="N17">INDEX(W$14:W$17,MATCH(4,AA$14:AA$17,0))</f>
        <v>7</v>
      </c>
      <c r="O17" s="45">
        <f t="array" ref="O17">INDEX(X$14:X$17,MATCH(4,AA$14:AA$17,0))</f>
        <v>-6</v>
      </c>
      <c r="P17" s="51">
        <f t="array" ref="P17">INDEX(Y$14:Y$17,MATCH(4,AA$14:AA$17,0))</f>
        <v>1</v>
      </c>
      <c r="Q17" s="16" t="str">
        <f t="shared" si="2"/>
        <v>Equador</v>
      </c>
      <c r="R17" s="16">
        <f>((D6&lt;&gt;"")*( F6&lt;&gt;""))+((D8&lt;&gt;"")*( F8&lt;&gt;""))+((D10&lt;&gt;"")*( F10&lt;&gt;""))</f>
        <v>2</v>
      </c>
      <c r="S17" s="16">
        <f>IF(AND(D6&lt;&gt;"",F6&lt;&gt;""),IF(F6&gt;D6,1,0),0)+IF(AND(D8&lt;&gt;"",F8&lt;&gt;""),IF(D8&gt;F8,1,0),0)+IF(AND(D10&lt;&gt;"",F10&lt;&gt;""),IF(D10&gt;F10,1,0),0)</f>
        <v>0</v>
      </c>
      <c r="T17" s="16">
        <f>IF(AND(D6&lt;&gt;"",F6&lt;&gt;""),IF(D6=F6,1,0),0)+IF(AND(D8&lt;&gt;"",F8&lt;&gt;""),IF(D8=F8,1,0),0)+IF(AND(D10&lt;&gt;"",F10&lt;&gt;""),IF(D10=F10,1,0),0)</f>
        <v>1</v>
      </c>
      <c r="U17" s="16">
        <f>IF(AND(D6&lt;&gt;"",F6&lt;&gt;""),IF(F6&lt;D6,1,0),0)+IF(AND(D8&lt;&gt;"",F8&lt;&gt;""),IF(D8&lt;F8,1,0),0)+IF(AND(D10&lt;&gt;"",F10&lt;&gt;""),IF(D10&lt;F10,1,0),0)</f>
        <v>1</v>
      </c>
      <c r="V17" s="47">
        <f>IF(F6="",0,F6)+IF(D8="",0,D8)+IF(D10="",0,D10)</f>
        <v>0</v>
      </c>
      <c r="W17" s="47">
        <f>IF(D6="",0,D6)+IF(F8="",0,F8)+IF(F10="",0,F10)</f>
        <v>1</v>
      </c>
      <c r="X17" s="47">
        <f t="shared" si="3"/>
        <v>-1</v>
      </c>
      <c r="Y17" s="16">
        <f t="shared" si="4"/>
        <v>1</v>
      </c>
      <c r="Z17" s="16">
        <f>Y17*1000000+(X17+100)*10000+V17*100+1</f>
        <v>1990001</v>
      </c>
      <c r="AA17" s="16">
        <f t="shared" si="5"/>
        <v>3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F" location="'Gr-F'!A1" ref="N7"/>
    <hyperlink display="G" location="'Gr-G'!A1" ref="O7"/>
    <hyperlink display="H" location="'Gr-H'!A1" ref="P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129</v>
      </c>
      <c r="B5" s="23" t="str">
        <f>Q5</f>
        <v>Holanda</v>
      </c>
      <c r="C5" s="24"/>
      <c r="D5" s="25">
        <v>2.0</v>
      </c>
      <c r="E5" s="26" t="s">
        <v>39</v>
      </c>
      <c r="F5" s="25">
        <v>2.0</v>
      </c>
      <c r="G5" s="24"/>
      <c r="H5" s="27" t="str">
        <f>Q6</f>
        <v>Japão</v>
      </c>
      <c r="I5" s="28" t="s">
        <v>130</v>
      </c>
      <c r="J5" s="20"/>
      <c r="K5" s="21"/>
      <c r="M5" s="29" t="s">
        <v>41</v>
      </c>
      <c r="N5" s="30"/>
      <c r="O5" s="30"/>
      <c r="P5" s="31"/>
      <c r="Q5" s="16" t="s">
        <v>131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132</v>
      </c>
      <c r="B6" s="33" t="str">
        <f>Q7</f>
        <v>Suécia</v>
      </c>
      <c r="C6" s="34"/>
      <c r="D6" s="25">
        <v>5.0</v>
      </c>
      <c r="E6" s="35" t="s">
        <v>39</v>
      </c>
      <c r="F6" s="25">
        <v>1.0</v>
      </c>
      <c r="G6" s="34"/>
      <c r="H6" s="36" t="str">
        <f>Q8</f>
        <v>Tunísia</v>
      </c>
      <c r="I6" s="37" t="s">
        <v>64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133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134</v>
      </c>
      <c r="B7" s="23" t="str">
        <f>Q5</f>
        <v>Holanda</v>
      </c>
      <c r="C7" s="24"/>
      <c r="D7" s="40">
        <v>5.0</v>
      </c>
      <c r="E7" s="26" t="s">
        <v>39</v>
      </c>
      <c r="F7" s="40">
        <v>1.0</v>
      </c>
      <c r="G7" s="24"/>
      <c r="H7" s="27" t="str">
        <f>Q7</f>
        <v>Suécia</v>
      </c>
      <c r="I7" s="28" t="s">
        <v>117</v>
      </c>
      <c r="J7" s="20"/>
      <c r="K7" s="21"/>
      <c r="M7" s="39" t="s">
        <v>52</v>
      </c>
      <c r="N7" s="38" t="s">
        <v>53</v>
      </c>
      <c r="O7" s="39" t="s">
        <v>54</v>
      </c>
      <c r="P7" s="39" t="s">
        <v>55</v>
      </c>
      <c r="Q7" s="16" t="s">
        <v>135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136</v>
      </c>
      <c r="B8" s="33" t="str">
        <f>Q8</f>
        <v>Tunísia</v>
      </c>
      <c r="C8" s="34"/>
      <c r="D8" s="40">
        <v>0.0</v>
      </c>
      <c r="E8" s="35" t="s">
        <v>39</v>
      </c>
      <c r="F8" s="40">
        <v>4.0</v>
      </c>
      <c r="G8" s="34"/>
      <c r="H8" s="36" t="str">
        <f t="shared" ref="H8:H9" si="1">Q6</f>
        <v>Japão</v>
      </c>
      <c r="I8" s="37" t="s">
        <v>64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137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138</v>
      </c>
      <c r="B9" s="23" t="str">
        <f>Q6</f>
        <v>Japão</v>
      </c>
      <c r="C9" s="24"/>
      <c r="D9" s="25"/>
      <c r="E9" s="26" t="s">
        <v>39</v>
      </c>
      <c r="F9" s="25"/>
      <c r="G9" s="24"/>
      <c r="H9" s="27" t="str">
        <f t="shared" si="1"/>
        <v>Suécia</v>
      </c>
      <c r="I9" s="28" t="s">
        <v>130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138</v>
      </c>
      <c r="B10" s="33" t="str">
        <f>Q8</f>
        <v>Tunísia</v>
      </c>
      <c r="C10" s="34"/>
      <c r="D10" s="25"/>
      <c r="E10" s="35" t="s">
        <v>39</v>
      </c>
      <c r="F10" s="25"/>
      <c r="G10" s="34"/>
      <c r="H10" s="36" t="str">
        <f>Q5</f>
        <v>Holanda</v>
      </c>
      <c r="I10" s="37" t="s">
        <v>125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Holanda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1</v>
      </c>
      <c r="K14" s="44">
        <f t="array" ref="K14">INDEX(T$14:T$17,MATCH(1,AA$14:AA$17,0))</f>
        <v>1</v>
      </c>
      <c r="L14" s="44">
        <f t="array" ref="L14">INDEX(U$14:U$17,MATCH(1,AA$14:AA$17,0))</f>
        <v>0</v>
      </c>
      <c r="M14" s="45">
        <f t="array" ref="M14">INDEX(V$14:V$17,MATCH(1,AA$14:AA$17,0))</f>
        <v>7</v>
      </c>
      <c r="N14" s="45">
        <f t="array" ref="N14">INDEX(W$14:W$17,MATCH(1,AA$14:AA$17,0))</f>
        <v>3</v>
      </c>
      <c r="O14" s="45">
        <f t="array" ref="O14">INDEX(X$14:X$17,MATCH(1,AA$14:AA$17,0))</f>
        <v>4</v>
      </c>
      <c r="P14" s="46">
        <f t="array" ref="P14">INDEX(Y$14:Y$17,MATCH(1,AA$14:AA$17,0))</f>
        <v>4</v>
      </c>
      <c r="Q14" s="16" t="str">
        <f t="shared" ref="Q14:Q17" si="2">Q5</f>
        <v>Holanda</v>
      </c>
      <c r="R14" s="16">
        <f>((D5&lt;&gt;"")*( F5&lt;&gt;""))+((D7&lt;&gt;"")*( F7&lt;&gt;""))+((D10&lt;&gt;"")*( F10&lt;&gt;""))</f>
        <v>2</v>
      </c>
      <c r="S14" s="16">
        <f>IF(AND(D5&lt;&gt;"",F5&lt;&gt;""),IF(D5&gt;F5,1,0),0)+IF(AND(D7&lt;&gt;"",F7&lt;&gt;""),IF(D7&gt;F7,1,0),0)+IF(AND(D10&lt;&gt;"",F10&lt;&gt;""),IF(F10&gt;D10,1,0),0)</f>
        <v>1</v>
      </c>
      <c r="T14" s="16">
        <f>IF(AND(D5&lt;&gt;"",F5&lt;&gt;""),IF(D5=F5,1,0),0)+IF(AND(D7&lt;&gt;"",F7&lt;&gt;""),IF(D7=F7,1,0),0)+IF(AND(D10&lt;&gt;"",F10&lt;&gt;""),IF(D10=F10,1,0),0)</f>
        <v>1</v>
      </c>
      <c r="U14" s="16">
        <f>IF(AND(D5&lt;&gt;"",F5&lt;&gt;""),IF(D5&lt;F5,1,0),0)+IF(AND(D7&lt;&gt;"",F7&lt;&gt;""),IF(D7&lt;F7,1,0),0)+IF(AND(D10&lt;&gt;"",F10&lt;&gt;""),IF(F10&lt;D10,1,0),0)</f>
        <v>0</v>
      </c>
      <c r="V14" s="47">
        <f>IF(D5="",0,D5)+IF(D7="",0,D7)+IF(F10="",0,F10)</f>
        <v>7</v>
      </c>
      <c r="W14" s="47">
        <f>IF(F5="",0,F5)+IF(F7="",0,F7)+IF(D10="",0,D10)</f>
        <v>3</v>
      </c>
      <c r="X14" s="47">
        <f t="shared" ref="X14:X17" si="3">V14-W14</f>
        <v>4</v>
      </c>
      <c r="Y14" s="16">
        <f t="shared" ref="Y14:Y17" si="4">S14*3+T14</f>
        <v>4</v>
      </c>
      <c r="Z14" s="16">
        <f>Y14*1000000+(X14+100)*10000+V14*100+4</f>
        <v>5040704</v>
      </c>
      <c r="AA14" s="16">
        <f t="shared" ref="AA14:AA17" si="5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Japão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1</v>
      </c>
      <c r="K15" s="44">
        <f t="array" ref="K15">INDEX(T$14:T$17,MATCH(2,AA$14:AA$17,0))</f>
        <v>1</v>
      </c>
      <c r="L15" s="44">
        <f t="array" ref="L15">INDEX(U$14:U$17,MATCH(2,AA$14:AA$17,0))</f>
        <v>0</v>
      </c>
      <c r="M15" s="45">
        <f t="array" ref="M15">INDEX(V$14:V$17,MATCH(2,AA$14:AA$17,0))</f>
        <v>6</v>
      </c>
      <c r="N15" s="45">
        <f t="array" ref="N15">INDEX(W$14:W$17,MATCH(2,AA$14:AA$17,0))</f>
        <v>2</v>
      </c>
      <c r="O15" s="45">
        <f t="array" ref="O15">INDEX(X$14:X$17,MATCH(2,AA$14:AA$17,0))</f>
        <v>4</v>
      </c>
      <c r="P15" s="46">
        <f t="array" ref="P15">INDEX(Y$14:Y$17,MATCH(2,AA$14:AA$17,0))</f>
        <v>4</v>
      </c>
      <c r="Q15" s="16" t="str">
        <f t="shared" si="2"/>
        <v>Japão</v>
      </c>
      <c r="R15" s="16">
        <f>((D5&lt;&gt;"")*( F5&lt;&gt;""))+((D8&lt;&gt;"")*( F8&lt;&gt;""))+((D9&lt;&gt;"")*( F9&lt;&gt;""))</f>
        <v>2</v>
      </c>
      <c r="S15" s="16">
        <f>IF(AND(D5&lt;&gt;"",F5&lt;&gt;""),IF(F5&gt;D5,1,0),0)+IF(AND(D8&lt;&gt;"",F8&lt;&gt;""),IF(F8&gt;D8,1,0),0)+IF(AND(D9&lt;&gt;"",F9&lt;&gt;""),IF(D9&gt;F9,1,0),0)</f>
        <v>1</v>
      </c>
      <c r="T15" s="16">
        <f>IF(AND(D5&lt;&gt;"",F5&lt;&gt;""),IF(D5=F5,1,0),0)+IF(AND(D8&lt;&gt;"",F8&lt;&gt;""),IF(D8=F8,1,0),0)+IF(AND(D9&lt;&gt;"",F9&lt;&gt;""),IF(D9=F9,1,0),0)</f>
        <v>1</v>
      </c>
      <c r="U15" s="16">
        <f>IF(AND(D5&lt;&gt;"",F5&lt;&gt;""),IF(F5&lt;D5,1,0),0)+IF(AND(D8&lt;&gt;"",F8&lt;&gt;""),IF(F8&lt;D8,1,0),0)+IF(AND(D9&lt;&gt;"",F9&lt;&gt;""),IF(D9&lt;F9,1,0),0)</f>
        <v>0</v>
      </c>
      <c r="V15" s="47">
        <f>IF(F5="",0,F5)+IF(F8="",0,F8)+IF(D9="",0,D9)</f>
        <v>6</v>
      </c>
      <c r="W15" s="47">
        <f>IF(D5="",0,D5)+IF(D8="",0,D8)+IF(F9="",0,F9)</f>
        <v>2</v>
      </c>
      <c r="X15" s="47">
        <f t="shared" si="3"/>
        <v>4</v>
      </c>
      <c r="Y15" s="16">
        <f t="shared" si="4"/>
        <v>4</v>
      </c>
      <c r="Z15" s="16">
        <f>Y15*1000000+(X15+100)*10000+V15*100+3</f>
        <v>5040603</v>
      </c>
      <c r="AA15" s="16">
        <f t="shared" si="5"/>
        <v>2</v>
      </c>
    </row>
    <row r="16" ht="21.75" customHeight="1">
      <c r="A16" s="48">
        <v>3.0</v>
      </c>
      <c r="B16" s="27" t="str">
        <f t="array" ref="B16">INDEX(Q$14:Q$17,MATCH(3,AA$14:AA$17,0))</f>
        <v>Suécia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1</v>
      </c>
      <c r="K16" s="44">
        <f t="array" ref="K16">INDEX(T$14:T$17,MATCH(3,AA$14:AA$17,0))</f>
        <v>0</v>
      </c>
      <c r="L16" s="44">
        <f t="array" ref="L16">INDEX(U$14:U$17,MATCH(3,AA$14:AA$17,0))</f>
        <v>1</v>
      </c>
      <c r="M16" s="45">
        <f t="array" ref="M16">INDEX(V$14:V$17,MATCH(3,AA$14:AA$17,0))</f>
        <v>6</v>
      </c>
      <c r="N16" s="45">
        <f t="array" ref="N16">INDEX(W$14:W$17,MATCH(3,AA$14:AA$17,0))</f>
        <v>6</v>
      </c>
      <c r="O16" s="45">
        <f t="array" ref="O16">INDEX(X$14:X$17,MATCH(3,AA$14:AA$17,0))</f>
        <v>0</v>
      </c>
      <c r="P16" s="49">
        <f t="array" ref="P16">INDEX(Y$14:Y$17,MATCH(3,AA$14:AA$17,0))</f>
        <v>3</v>
      </c>
      <c r="Q16" s="16" t="str">
        <f t="shared" si="2"/>
        <v>Suécia</v>
      </c>
      <c r="R16" s="16">
        <f>((D6&lt;&gt;"")*( F6&lt;&gt;""))+((D7&lt;&gt;"")*( F7&lt;&gt;""))+((D9&lt;&gt;"")*( F9&lt;&gt;""))</f>
        <v>2</v>
      </c>
      <c r="S16" s="16">
        <f>IF(AND(D6&lt;&gt;"",F6&lt;&gt;""),IF(D6&gt;F6,1,0),0)+IF(AND(D7&lt;&gt;"",F7&lt;&gt;""),IF(F7&gt;D7,1,0),0)+IF(AND(D9&lt;&gt;"",F9&lt;&gt;""),IF(F9&gt;D9,1,0),0)</f>
        <v>1</v>
      </c>
      <c r="T16" s="16">
        <f>IF(AND(D6&lt;&gt;"",F6&lt;&gt;""),IF(D6=F6,1,0),0)+IF(AND(D7&lt;&gt;"",F7&lt;&gt;""),IF(D7=F7,1,0),0)+IF(AND(D9&lt;&gt;"",F9&lt;&gt;""),IF(D9=F9,1,0),0)</f>
        <v>0</v>
      </c>
      <c r="U16" s="16">
        <f>IF(AND(D6&lt;&gt;"",F6&lt;&gt;""),IF(D6&lt;F6,1,0),0)+IF(AND(D7&lt;&gt;"",F7&lt;&gt;""),IF(F7&lt;D7,1,0),0)+IF(AND(D9&lt;&gt;"",F9&lt;&gt;""),IF(F9&lt;D9,1,0),0)</f>
        <v>1</v>
      </c>
      <c r="V16" s="47">
        <f>IF(D6="",0,D6)+IF(F7="",0,F7)+IF(F9="",0,F9)</f>
        <v>6</v>
      </c>
      <c r="W16" s="47">
        <f>IF(F6="",0,F6)+IF(D7="",0,D7)+IF(D9="",0,D9)</f>
        <v>6</v>
      </c>
      <c r="X16" s="47">
        <f t="shared" si="3"/>
        <v>0</v>
      </c>
      <c r="Y16" s="16">
        <f t="shared" si="4"/>
        <v>3</v>
      </c>
      <c r="Z16" s="16">
        <f>Y16*1000000+(X16+100)*10000+V16*100+2</f>
        <v>4000602</v>
      </c>
      <c r="AA16" s="16">
        <f t="shared" si="5"/>
        <v>3</v>
      </c>
    </row>
    <row r="17" ht="21.75" customHeight="1">
      <c r="A17" s="50">
        <v>4.0</v>
      </c>
      <c r="B17" s="27" t="str">
        <f t="array" ref="B17">INDEX(Q$14:Q$17,MATCH(4,AA$14:AA$17,0))</f>
        <v>Tunísia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0</v>
      </c>
      <c r="L17" s="44">
        <f t="array" ref="L17">INDEX(U$14:U$17,MATCH(4,AA$14:AA$17,0))</f>
        <v>2</v>
      </c>
      <c r="M17" s="45">
        <f t="array" ref="M17">INDEX(V$14:V$17,MATCH(4,AA$14:AA$17,0))</f>
        <v>1</v>
      </c>
      <c r="N17" s="45">
        <f t="array" ref="N17">INDEX(W$14:W$17,MATCH(4,AA$14:AA$17,0))</f>
        <v>9</v>
      </c>
      <c r="O17" s="45">
        <f t="array" ref="O17">INDEX(X$14:X$17,MATCH(4,AA$14:AA$17,0))</f>
        <v>-8</v>
      </c>
      <c r="P17" s="51">
        <f t="array" ref="P17">INDEX(Y$14:Y$17,MATCH(4,AA$14:AA$17,0))</f>
        <v>0</v>
      </c>
      <c r="Q17" s="16" t="str">
        <f t="shared" si="2"/>
        <v>Tunísia</v>
      </c>
      <c r="R17" s="16">
        <f>((D6&lt;&gt;"")*( F6&lt;&gt;""))+((D8&lt;&gt;"")*( F8&lt;&gt;""))+((D10&lt;&gt;"")*( F10&lt;&gt;""))</f>
        <v>2</v>
      </c>
      <c r="S17" s="16">
        <f>IF(AND(D6&lt;&gt;"",F6&lt;&gt;""),IF(F6&gt;D6,1,0),0)+IF(AND(D8&lt;&gt;"",F8&lt;&gt;""),IF(D8&gt;F8,1,0),0)+IF(AND(D10&lt;&gt;"",F10&lt;&gt;""),IF(D10&gt;F10,1,0),0)</f>
        <v>0</v>
      </c>
      <c r="T17" s="16">
        <f>IF(AND(D6&lt;&gt;"",F6&lt;&gt;""),IF(D6=F6,1,0),0)+IF(AND(D8&lt;&gt;"",F8&lt;&gt;""),IF(D8=F8,1,0),0)+IF(AND(D10&lt;&gt;"",F10&lt;&gt;""),IF(D10=F10,1,0),0)</f>
        <v>0</v>
      </c>
      <c r="U17" s="16">
        <f>IF(AND(D6&lt;&gt;"",F6&lt;&gt;""),IF(F6&lt;D6,1,0),0)+IF(AND(D8&lt;&gt;"",F8&lt;&gt;""),IF(D8&lt;F8,1,0),0)+IF(AND(D10&lt;&gt;"",F10&lt;&gt;""),IF(D10&lt;F10,1,0),0)</f>
        <v>2</v>
      </c>
      <c r="V17" s="47">
        <f>IF(F6="",0,F6)+IF(D8="",0,D8)+IF(D10="",0,D10)</f>
        <v>1</v>
      </c>
      <c r="W17" s="47">
        <f>IF(D6="",0,D6)+IF(F8="",0,F8)+IF(F10="",0,F10)</f>
        <v>9</v>
      </c>
      <c r="X17" s="47">
        <f t="shared" si="3"/>
        <v>-8</v>
      </c>
      <c r="Y17" s="16">
        <f t="shared" si="4"/>
        <v>0</v>
      </c>
      <c r="Z17" s="16">
        <f>Y17*1000000+(X17+100)*10000+V17*100+1</f>
        <v>920101</v>
      </c>
      <c r="AA17" s="16">
        <f t="shared" si="5"/>
        <v>4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E" location="'Gr-E'!A1" ref="M7"/>
    <hyperlink display="G" location="'Gr-G'!A1" ref="O7"/>
    <hyperlink display="H" location="'Gr-H'!A1" ref="P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5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140</v>
      </c>
      <c r="B5" s="23" t="str">
        <f>Q5</f>
        <v>Bélgica</v>
      </c>
      <c r="C5" s="24"/>
      <c r="D5" s="40">
        <v>1.0</v>
      </c>
      <c r="E5" s="26" t="s">
        <v>39</v>
      </c>
      <c r="F5" s="40">
        <v>1.0</v>
      </c>
      <c r="G5" s="24"/>
      <c r="H5" s="27" t="str">
        <f>Q6</f>
        <v>Egito</v>
      </c>
      <c r="I5" s="28" t="s">
        <v>141</v>
      </c>
      <c r="J5" s="20"/>
      <c r="K5" s="21"/>
      <c r="M5" s="29" t="s">
        <v>41</v>
      </c>
      <c r="N5" s="30"/>
      <c r="O5" s="30"/>
      <c r="P5" s="31"/>
      <c r="Q5" s="16" t="s">
        <v>142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143</v>
      </c>
      <c r="B6" s="33" t="str">
        <f>Q7</f>
        <v>Irã</v>
      </c>
      <c r="C6" s="34"/>
      <c r="D6" s="40">
        <v>2.0</v>
      </c>
      <c r="E6" s="35" t="s">
        <v>39</v>
      </c>
      <c r="F6" s="40">
        <v>2.0</v>
      </c>
      <c r="G6" s="34"/>
      <c r="H6" s="36" t="str">
        <f>Q8</f>
        <v>Nova Zelândia</v>
      </c>
      <c r="I6" s="37" t="s">
        <v>82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144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145</v>
      </c>
      <c r="B7" s="23" t="str">
        <f>Q5</f>
        <v>Bélgica</v>
      </c>
      <c r="C7" s="24"/>
      <c r="D7" s="40">
        <v>0.0</v>
      </c>
      <c r="E7" s="26" t="s">
        <v>39</v>
      </c>
      <c r="F7" s="40">
        <v>0.0</v>
      </c>
      <c r="G7" s="24"/>
      <c r="H7" s="27" t="str">
        <f>Q7</f>
        <v>Irã</v>
      </c>
      <c r="I7" s="28" t="s">
        <v>82</v>
      </c>
      <c r="J7" s="20"/>
      <c r="K7" s="21"/>
      <c r="M7" s="39" t="s">
        <v>52</v>
      </c>
      <c r="N7" s="39" t="s">
        <v>53</v>
      </c>
      <c r="O7" s="38" t="s">
        <v>54</v>
      </c>
      <c r="P7" s="39" t="s">
        <v>55</v>
      </c>
      <c r="Q7" s="16" t="s">
        <v>146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147</v>
      </c>
      <c r="B8" s="33" t="str">
        <f>Q8</f>
        <v>Nova Zelândia</v>
      </c>
      <c r="C8" s="34"/>
      <c r="D8" s="40">
        <v>1.0</v>
      </c>
      <c r="E8" s="35" t="s">
        <v>39</v>
      </c>
      <c r="F8" s="40">
        <v>3.0</v>
      </c>
      <c r="G8" s="34"/>
      <c r="H8" s="36" t="str">
        <f t="shared" ref="H8:H9" si="1">Q6</f>
        <v>Egito</v>
      </c>
      <c r="I8" s="37" t="s">
        <v>85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148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149</v>
      </c>
      <c r="B9" s="23" t="str">
        <f>Q6</f>
        <v>Egito</v>
      </c>
      <c r="C9" s="24"/>
      <c r="D9" s="25"/>
      <c r="E9" s="26" t="s">
        <v>39</v>
      </c>
      <c r="F9" s="25"/>
      <c r="G9" s="24"/>
      <c r="H9" s="27" t="str">
        <f t="shared" si="1"/>
        <v>Irã</v>
      </c>
      <c r="I9" s="28" t="s">
        <v>88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149</v>
      </c>
      <c r="B10" s="33" t="str">
        <f>Q8</f>
        <v>Nova Zelândia</v>
      </c>
      <c r="C10" s="34"/>
      <c r="D10" s="25"/>
      <c r="E10" s="35" t="s">
        <v>39</v>
      </c>
      <c r="F10" s="25"/>
      <c r="G10" s="34"/>
      <c r="H10" s="36" t="str">
        <f>Q5</f>
        <v>Bélgica</v>
      </c>
      <c r="I10" s="37" t="s">
        <v>85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Egito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1</v>
      </c>
      <c r="K14" s="44">
        <f t="array" ref="K14">INDEX(T$14:T$17,MATCH(1,AA$14:AA$17,0))</f>
        <v>1</v>
      </c>
      <c r="L14" s="44">
        <f t="array" ref="L14">INDEX(U$14:U$17,MATCH(1,AA$14:AA$17,0))</f>
        <v>0</v>
      </c>
      <c r="M14" s="45">
        <f t="array" ref="M14">INDEX(V$14:V$17,MATCH(1,AA$14:AA$17,0))</f>
        <v>4</v>
      </c>
      <c r="N14" s="45">
        <f t="array" ref="N14">INDEX(W$14:W$17,MATCH(1,AA$14:AA$17,0))</f>
        <v>2</v>
      </c>
      <c r="O14" s="45">
        <f t="array" ref="O14">INDEX(X$14:X$17,MATCH(1,AA$14:AA$17,0))</f>
        <v>2</v>
      </c>
      <c r="P14" s="46">
        <f t="array" ref="P14">INDEX(Y$14:Y$17,MATCH(1,AA$14:AA$17,0))</f>
        <v>4</v>
      </c>
      <c r="Q14" s="16" t="str">
        <f t="shared" ref="Q14:Q17" si="2">Q5</f>
        <v>Bélgica</v>
      </c>
      <c r="R14" s="16">
        <f>((D5&lt;&gt;"")*( F5&lt;&gt;""))+((D7&lt;&gt;"")*( F7&lt;&gt;""))+((D10&lt;&gt;"")*( F10&lt;&gt;""))</f>
        <v>2</v>
      </c>
      <c r="S14" s="16">
        <f>IF(AND(D5&lt;&gt;"",F5&lt;&gt;""),IF(D5&gt;F5,1,0),0)+IF(AND(D7&lt;&gt;"",F7&lt;&gt;""),IF(D7&gt;F7,1,0),0)+IF(AND(D10&lt;&gt;"",F10&lt;&gt;""),IF(F10&gt;D10,1,0),0)</f>
        <v>0</v>
      </c>
      <c r="T14" s="16">
        <f>IF(AND(D5&lt;&gt;"",F5&lt;&gt;""),IF(D5=F5,1,0),0)+IF(AND(D7&lt;&gt;"",F7&lt;&gt;""),IF(D7=F7,1,0),0)+IF(AND(D10&lt;&gt;"",F10&lt;&gt;""),IF(D10=F10,1,0),0)</f>
        <v>2</v>
      </c>
      <c r="U14" s="16">
        <f>IF(AND(D5&lt;&gt;"",F5&lt;&gt;""),IF(D5&lt;F5,1,0),0)+IF(AND(D7&lt;&gt;"",F7&lt;&gt;""),IF(D7&lt;F7,1,0),0)+IF(AND(D10&lt;&gt;"",F10&lt;&gt;""),IF(F10&lt;D10,1,0),0)</f>
        <v>0</v>
      </c>
      <c r="V14" s="47">
        <f>IF(D5="",0,D5)+IF(D7="",0,D7)+IF(F10="",0,F10)</f>
        <v>1</v>
      </c>
      <c r="W14" s="47">
        <f>IF(F5="",0,F5)+IF(F7="",0,F7)+IF(D10="",0,D10)</f>
        <v>1</v>
      </c>
      <c r="X14" s="47">
        <f t="shared" ref="X14:X17" si="3">V14-W14</f>
        <v>0</v>
      </c>
      <c r="Y14" s="16">
        <f t="shared" ref="Y14:Y17" si="4">S14*3+T14</f>
        <v>2</v>
      </c>
      <c r="Z14" s="16">
        <f>Y14*1000000+(X14+100)*10000+V14*100+4</f>
        <v>3000104</v>
      </c>
      <c r="AA14" s="16">
        <f t="shared" ref="AA14:AA17" si="5">RANK(Z14,Z$14:Z$17,0)</f>
        <v>3</v>
      </c>
    </row>
    <row r="15" ht="21.75" customHeight="1">
      <c r="A15" s="42">
        <v>2.0</v>
      </c>
      <c r="B15" s="27" t="str">
        <f t="array" ref="B15">INDEX(Q$14:Q$17,MATCH(2,AA$14:AA$17,0))</f>
        <v>Irã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0</v>
      </c>
      <c r="K15" s="44">
        <f t="array" ref="K15">INDEX(T$14:T$17,MATCH(2,AA$14:AA$17,0))</f>
        <v>2</v>
      </c>
      <c r="L15" s="44">
        <f t="array" ref="L15">INDEX(U$14:U$17,MATCH(2,AA$14:AA$17,0))</f>
        <v>0</v>
      </c>
      <c r="M15" s="45">
        <f t="array" ref="M15">INDEX(V$14:V$17,MATCH(2,AA$14:AA$17,0))</f>
        <v>2</v>
      </c>
      <c r="N15" s="45">
        <f t="array" ref="N15">INDEX(W$14:W$17,MATCH(2,AA$14:AA$17,0))</f>
        <v>2</v>
      </c>
      <c r="O15" s="45">
        <f t="array" ref="O15">INDEX(X$14:X$17,MATCH(2,AA$14:AA$17,0))</f>
        <v>0</v>
      </c>
      <c r="P15" s="46">
        <f t="array" ref="P15">INDEX(Y$14:Y$17,MATCH(2,AA$14:AA$17,0))</f>
        <v>2</v>
      </c>
      <c r="Q15" s="16" t="str">
        <f t="shared" si="2"/>
        <v>Egito</v>
      </c>
      <c r="R15" s="16">
        <f>((D5&lt;&gt;"")*( F5&lt;&gt;""))+((D8&lt;&gt;"")*( F8&lt;&gt;""))+((D9&lt;&gt;"")*( F9&lt;&gt;""))</f>
        <v>2</v>
      </c>
      <c r="S15" s="16">
        <f>IF(AND(D5&lt;&gt;"",F5&lt;&gt;""),IF(F5&gt;D5,1,0),0)+IF(AND(D8&lt;&gt;"",F8&lt;&gt;""),IF(F8&gt;D8,1,0),0)+IF(AND(D9&lt;&gt;"",F9&lt;&gt;""),IF(D9&gt;F9,1,0),0)</f>
        <v>1</v>
      </c>
      <c r="T15" s="16">
        <f>IF(AND(D5&lt;&gt;"",F5&lt;&gt;""),IF(D5=F5,1,0),0)+IF(AND(D8&lt;&gt;"",F8&lt;&gt;""),IF(D8=F8,1,0),0)+IF(AND(D9&lt;&gt;"",F9&lt;&gt;""),IF(D9=F9,1,0),0)</f>
        <v>1</v>
      </c>
      <c r="U15" s="16">
        <f>IF(AND(D5&lt;&gt;"",F5&lt;&gt;""),IF(F5&lt;D5,1,0),0)+IF(AND(D8&lt;&gt;"",F8&lt;&gt;""),IF(F8&lt;D8,1,0),0)+IF(AND(D9&lt;&gt;"",F9&lt;&gt;""),IF(D9&lt;F9,1,0),0)</f>
        <v>0</v>
      </c>
      <c r="V15" s="47">
        <f>IF(F5="",0,F5)+IF(F8="",0,F8)+IF(D9="",0,D9)</f>
        <v>4</v>
      </c>
      <c r="W15" s="47">
        <f>IF(D5="",0,D5)+IF(D8="",0,D8)+IF(F9="",0,F9)</f>
        <v>2</v>
      </c>
      <c r="X15" s="47">
        <f t="shared" si="3"/>
        <v>2</v>
      </c>
      <c r="Y15" s="16">
        <f t="shared" si="4"/>
        <v>4</v>
      </c>
      <c r="Z15" s="16">
        <f>Y15*1000000+(X15+100)*10000+V15*100+3</f>
        <v>5020403</v>
      </c>
      <c r="AA15" s="16">
        <f t="shared" si="5"/>
        <v>1</v>
      </c>
    </row>
    <row r="16" ht="21.75" customHeight="1">
      <c r="A16" s="48">
        <v>3.0</v>
      </c>
      <c r="B16" s="27" t="str">
        <f t="array" ref="B16">INDEX(Q$14:Q$17,MATCH(3,AA$14:AA$17,0))</f>
        <v>Bélgica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0</v>
      </c>
      <c r="K16" s="44">
        <f t="array" ref="K16">INDEX(T$14:T$17,MATCH(3,AA$14:AA$17,0))</f>
        <v>2</v>
      </c>
      <c r="L16" s="44">
        <f t="array" ref="L16">INDEX(U$14:U$17,MATCH(3,AA$14:AA$17,0))</f>
        <v>0</v>
      </c>
      <c r="M16" s="45">
        <f t="array" ref="M16">INDEX(V$14:V$17,MATCH(3,AA$14:AA$17,0))</f>
        <v>1</v>
      </c>
      <c r="N16" s="45">
        <f t="array" ref="N16">INDEX(W$14:W$17,MATCH(3,AA$14:AA$17,0))</f>
        <v>1</v>
      </c>
      <c r="O16" s="45">
        <f t="array" ref="O16">INDEX(X$14:X$17,MATCH(3,AA$14:AA$17,0))</f>
        <v>0</v>
      </c>
      <c r="P16" s="49">
        <f t="array" ref="P16">INDEX(Y$14:Y$17,MATCH(3,AA$14:AA$17,0))</f>
        <v>2</v>
      </c>
      <c r="Q16" s="16" t="str">
        <f t="shared" si="2"/>
        <v>Irã</v>
      </c>
      <c r="R16" s="16">
        <f>((D6&lt;&gt;"")*( F6&lt;&gt;""))+((D7&lt;&gt;"")*( F7&lt;&gt;""))+((D9&lt;&gt;"")*( F9&lt;&gt;""))</f>
        <v>2</v>
      </c>
      <c r="S16" s="16">
        <f>IF(AND(D6&lt;&gt;"",F6&lt;&gt;""),IF(D6&gt;F6,1,0),0)+IF(AND(D7&lt;&gt;"",F7&lt;&gt;""),IF(F7&gt;D7,1,0),0)+IF(AND(D9&lt;&gt;"",F9&lt;&gt;""),IF(F9&gt;D9,1,0),0)</f>
        <v>0</v>
      </c>
      <c r="T16" s="16">
        <f>IF(AND(D6&lt;&gt;"",F6&lt;&gt;""),IF(D6=F6,1,0),0)+IF(AND(D7&lt;&gt;"",F7&lt;&gt;""),IF(D7=F7,1,0),0)+IF(AND(D9&lt;&gt;"",F9&lt;&gt;""),IF(D9=F9,1,0),0)</f>
        <v>2</v>
      </c>
      <c r="U16" s="16">
        <f>IF(AND(D6&lt;&gt;"",F6&lt;&gt;""),IF(D6&lt;F6,1,0),0)+IF(AND(D7&lt;&gt;"",F7&lt;&gt;""),IF(F7&lt;D7,1,0),0)+IF(AND(D9&lt;&gt;"",F9&lt;&gt;""),IF(F9&lt;D9,1,0),0)</f>
        <v>0</v>
      </c>
      <c r="V16" s="47">
        <f>IF(D6="",0,D6)+IF(F7="",0,F7)+IF(F9="",0,F9)</f>
        <v>2</v>
      </c>
      <c r="W16" s="47">
        <f>IF(F6="",0,F6)+IF(D7="",0,D7)+IF(D9="",0,D9)</f>
        <v>2</v>
      </c>
      <c r="X16" s="47">
        <f t="shared" si="3"/>
        <v>0</v>
      </c>
      <c r="Y16" s="16">
        <f t="shared" si="4"/>
        <v>2</v>
      </c>
      <c r="Z16" s="16">
        <f>Y16*1000000+(X16+100)*10000+V16*100+2</f>
        <v>3000202</v>
      </c>
      <c r="AA16" s="16">
        <f t="shared" si="5"/>
        <v>2</v>
      </c>
    </row>
    <row r="17" ht="21.75" customHeight="1">
      <c r="A17" s="50">
        <v>4.0</v>
      </c>
      <c r="B17" s="27" t="str">
        <f t="array" ref="B17">INDEX(Q$14:Q$17,MATCH(4,AA$14:AA$17,0))</f>
        <v>Nova Zelândia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1</v>
      </c>
      <c r="L17" s="44">
        <f t="array" ref="L17">INDEX(U$14:U$17,MATCH(4,AA$14:AA$17,0))</f>
        <v>1</v>
      </c>
      <c r="M17" s="45">
        <f t="array" ref="M17">INDEX(V$14:V$17,MATCH(4,AA$14:AA$17,0))</f>
        <v>3</v>
      </c>
      <c r="N17" s="45">
        <f t="array" ref="N17">INDEX(W$14:W$17,MATCH(4,AA$14:AA$17,0))</f>
        <v>5</v>
      </c>
      <c r="O17" s="45">
        <f t="array" ref="O17">INDEX(X$14:X$17,MATCH(4,AA$14:AA$17,0))</f>
        <v>-2</v>
      </c>
      <c r="P17" s="51">
        <f t="array" ref="P17">INDEX(Y$14:Y$17,MATCH(4,AA$14:AA$17,0))</f>
        <v>1</v>
      </c>
      <c r="Q17" s="16" t="str">
        <f t="shared" si="2"/>
        <v>Nova Zelândia</v>
      </c>
      <c r="R17" s="16">
        <f>((D6&lt;&gt;"")*( F6&lt;&gt;""))+((D8&lt;&gt;"")*( F8&lt;&gt;""))+((D10&lt;&gt;"")*( F10&lt;&gt;""))</f>
        <v>2</v>
      </c>
      <c r="S17" s="16">
        <f>IF(AND(D6&lt;&gt;"",F6&lt;&gt;""),IF(F6&gt;D6,1,0),0)+IF(AND(D8&lt;&gt;"",F8&lt;&gt;""),IF(D8&gt;F8,1,0),0)+IF(AND(D10&lt;&gt;"",F10&lt;&gt;""),IF(D10&gt;F10,1,0),0)</f>
        <v>0</v>
      </c>
      <c r="T17" s="16">
        <f>IF(AND(D6&lt;&gt;"",F6&lt;&gt;""),IF(D6=F6,1,0),0)+IF(AND(D8&lt;&gt;"",F8&lt;&gt;""),IF(D8=F8,1,0),0)+IF(AND(D10&lt;&gt;"",F10&lt;&gt;""),IF(D10=F10,1,0),0)</f>
        <v>1</v>
      </c>
      <c r="U17" s="16">
        <f>IF(AND(D6&lt;&gt;"",F6&lt;&gt;""),IF(F6&lt;D6,1,0),0)+IF(AND(D8&lt;&gt;"",F8&lt;&gt;""),IF(D8&lt;F8,1,0),0)+IF(AND(D10&lt;&gt;"",F10&lt;&gt;""),IF(D10&lt;F10,1,0),0)</f>
        <v>1</v>
      </c>
      <c r="V17" s="47">
        <f>IF(F6="",0,F6)+IF(D8="",0,D8)+IF(D10="",0,D10)</f>
        <v>3</v>
      </c>
      <c r="W17" s="47">
        <f>IF(D6="",0,D6)+IF(F8="",0,F8)+IF(F10="",0,F10)</f>
        <v>5</v>
      </c>
      <c r="X17" s="47">
        <f t="shared" si="3"/>
        <v>-2</v>
      </c>
      <c r="Y17" s="16">
        <f t="shared" si="4"/>
        <v>1</v>
      </c>
      <c r="Z17" s="16">
        <f>Y17*1000000+(X17+100)*10000+V17*100+1</f>
        <v>1980301</v>
      </c>
      <c r="AA17" s="16">
        <f t="shared" si="5"/>
        <v>4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E" location="'Gr-E'!A1" ref="M7"/>
    <hyperlink display="F" location="'Gr-F'!A1" ref="N7"/>
    <hyperlink display="H" location="'Gr-H'!A1" ref="P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151</v>
      </c>
      <c r="B5" s="23" t="str">
        <f>Q5</f>
        <v>Espanha</v>
      </c>
      <c r="C5" s="24"/>
      <c r="D5" s="40">
        <v>0.0</v>
      </c>
      <c r="E5" s="26" t="s">
        <v>39</v>
      </c>
      <c r="F5" s="40">
        <v>0.0</v>
      </c>
      <c r="G5" s="24"/>
      <c r="H5" s="27" t="str">
        <f>Q6</f>
        <v>Cabo Verde</v>
      </c>
      <c r="I5" s="28" t="s">
        <v>51</v>
      </c>
      <c r="J5" s="20"/>
      <c r="K5" s="21"/>
      <c r="M5" s="29" t="s">
        <v>41</v>
      </c>
      <c r="N5" s="30"/>
      <c r="O5" s="30"/>
      <c r="P5" s="31"/>
      <c r="Q5" s="16" t="s">
        <v>152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153</v>
      </c>
      <c r="B6" s="33" t="str">
        <f>Q7</f>
        <v>Arábia Saudita</v>
      </c>
      <c r="C6" s="34"/>
      <c r="D6" s="40">
        <v>1.0</v>
      </c>
      <c r="E6" s="35" t="s">
        <v>39</v>
      </c>
      <c r="F6" s="40">
        <v>1.0</v>
      </c>
      <c r="G6" s="34"/>
      <c r="H6" s="36" t="str">
        <f>Q8</f>
        <v>Uruguai</v>
      </c>
      <c r="I6" s="37" t="s">
        <v>102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154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155</v>
      </c>
      <c r="B7" s="23" t="str">
        <f>Q5</f>
        <v>Espanha</v>
      </c>
      <c r="C7" s="24"/>
      <c r="D7" s="40">
        <v>4.0</v>
      </c>
      <c r="E7" s="26" t="s">
        <v>39</v>
      </c>
      <c r="F7" s="40">
        <v>0.0</v>
      </c>
      <c r="G7" s="24"/>
      <c r="H7" s="27" t="str">
        <f>Q7</f>
        <v>Arábia Saudita</v>
      </c>
      <c r="I7" s="28" t="s">
        <v>51</v>
      </c>
      <c r="J7" s="20"/>
      <c r="K7" s="21"/>
      <c r="M7" s="39" t="s">
        <v>52</v>
      </c>
      <c r="N7" s="39" t="s">
        <v>53</v>
      </c>
      <c r="O7" s="39" t="s">
        <v>54</v>
      </c>
      <c r="P7" s="38" t="s">
        <v>55</v>
      </c>
      <c r="Q7" s="16" t="s">
        <v>156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157</v>
      </c>
      <c r="B8" s="33" t="str">
        <f>Q8</f>
        <v>Uruguai</v>
      </c>
      <c r="C8" s="34"/>
      <c r="D8" s="40">
        <v>2.0</v>
      </c>
      <c r="E8" s="35" t="s">
        <v>39</v>
      </c>
      <c r="F8" s="40">
        <v>2.0</v>
      </c>
      <c r="G8" s="34"/>
      <c r="H8" s="36" t="str">
        <f t="shared" ref="H8:H9" si="1">Q6</f>
        <v>Cabo Verde</v>
      </c>
      <c r="I8" s="37" t="s">
        <v>102</v>
      </c>
      <c r="J8" s="20"/>
      <c r="K8" s="21"/>
      <c r="M8" s="39" t="s">
        <v>58</v>
      </c>
      <c r="N8" s="39" t="s">
        <v>59</v>
      </c>
      <c r="O8" s="39" t="s">
        <v>60</v>
      </c>
      <c r="P8" s="39" t="s">
        <v>61</v>
      </c>
      <c r="Q8" s="16" t="s">
        <v>158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159</v>
      </c>
      <c r="B9" s="23" t="str">
        <f>Q6</f>
        <v>Cabo Verde</v>
      </c>
      <c r="C9" s="24"/>
      <c r="D9" s="25"/>
      <c r="E9" s="26" t="s">
        <v>39</v>
      </c>
      <c r="F9" s="25"/>
      <c r="G9" s="24"/>
      <c r="H9" s="27" t="str">
        <f t="shared" si="1"/>
        <v>Arábia Saudita</v>
      </c>
      <c r="I9" s="28" t="s">
        <v>117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159</v>
      </c>
      <c r="B10" s="33" t="str">
        <f>Q8</f>
        <v>Uruguai</v>
      </c>
      <c r="C10" s="34"/>
      <c r="D10" s="25"/>
      <c r="E10" s="35" t="s">
        <v>39</v>
      </c>
      <c r="F10" s="25"/>
      <c r="G10" s="34"/>
      <c r="H10" s="36" t="str">
        <f>Q5</f>
        <v>Espanha</v>
      </c>
      <c r="I10" s="37" t="s">
        <v>44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Espanha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1</v>
      </c>
      <c r="K14" s="44">
        <f t="array" ref="K14">INDEX(T$14:T$17,MATCH(1,AA$14:AA$17,0))</f>
        <v>1</v>
      </c>
      <c r="L14" s="44">
        <f t="array" ref="L14">INDEX(U$14:U$17,MATCH(1,AA$14:AA$17,0))</f>
        <v>0</v>
      </c>
      <c r="M14" s="45">
        <f t="array" ref="M14">INDEX(V$14:V$17,MATCH(1,AA$14:AA$17,0))</f>
        <v>4</v>
      </c>
      <c r="N14" s="45">
        <f t="array" ref="N14">INDEX(W$14:W$17,MATCH(1,AA$14:AA$17,0))</f>
        <v>0</v>
      </c>
      <c r="O14" s="45">
        <f t="array" ref="O14">INDEX(X$14:X$17,MATCH(1,AA$14:AA$17,0))</f>
        <v>4</v>
      </c>
      <c r="P14" s="46">
        <f t="array" ref="P14">INDEX(Y$14:Y$17,MATCH(1,AA$14:AA$17,0))</f>
        <v>4</v>
      </c>
      <c r="Q14" s="16" t="str">
        <f t="shared" ref="Q14:Q17" si="2">Q5</f>
        <v>Espanha</v>
      </c>
      <c r="R14" s="16">
        <f>((D5&lt;&gt;"")*( F5&lt;&gt;""))+((D7&lt;&gt;"")*( F7&lt;&gt;""))+((D10&lt;&gt;"")*( F10&lt;&gt;""))</f>
        <v>2</v>
      </c>
      <c r="S14" s="16">
        <f>IF(AND(D5&lt;&gt;"",F5&lt;&gt;""),IF(D5&gt;F5,1,0),0)+IF(AND(D7&lt;&gt;"",F7&lt;&gt;""),IF(D7&gt;F7,1,0),0)+IF(AND(D10&lt;&gt;"",F10&lt;&gt;""),IF(F10&gt;D10,1,0),0)</f>
        <v>1</v>
      </c>
      <c r="T14" s="16">
        <f>IF(AND(D5&lt;&gt;"",F5&lt;&gt;""),IF(D5=F5,1,0),0)+IF(AND(D7&lt;&gt;"",F7&lt;&gt;""),IF(D7=F7,1,0),0)+IF(AND(D10&lt;&gt;"",F10&lt;&gt;""),IF(D10=F10,1,0),0)</f>
        <v>1</v>
      </c>
      <c r="U14" s="16">
        <f>IF(AND(D5&lt;&gt;"",F5&lt;&gt;""),IF(D5&lt;F5,1,0),0)+IF(AND(D7&lt;&gt;"",F7&lt;&gt;""),IF(D7&lt;F7,1,0),0)+IF(AND(D10&lt;&gt;"",F10&lt;&gt;""),IF(F10&lt;D10,1,0),0)</f>
        <v>0</v>
      </c>
      <c r="V14" s="47">
        <f>IF(D5="",0,D5)+IF(D7="",0,D7)+IF(F10="",0,F10)</f>
        <v>4</v>
      </c>
      <c r="W14" s="47">
        <f>IF(F5="",0,F5)+IF(F7="",0,F7)+IF(D10="",0,D10)</f>
        <v>0</v>
      </c>
      <c r="X14" s="47">
        <f t="shared" ref="X14:X17" si="3">V14-W14</f>
        <v>4</v>
      </c>
      <c r="Y14" s="16">
        <f t="shared" ref="Y14:Y17" si="4">S14*3+T14</f>
        <v>4</v>
      </c>
      <c r="Z14" s="16">
        <f>Y14*1000000+(X14+100)*10000+V14*100+4</f>
        <v>5040404</v>
      </c>
      <c r="AA14" s="16">
        <f t="shared" ref="AA14:AA17" si="5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Uruguai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0</v>
      </c>
      <c r="K15" s="44">
        <f t="array" ref="K15">INDEX(T$14:T$17,MATCH(2,AA$14:AA$17,0))</f>
        <v>2</v>
      </c>
      <c r="L15" s="44">
        <f t="array" ref="L15">INDEX(U$14:U$17,MATCH(2,AA$14:AA$17,0))</f>
        <v>0</v>
      </c>
      <c r="M15" s="45">
        <f t="array" ref="M15">INDEX(V$14:V$17,MATCH(2,AA$14:AA$17,0))</f>
        <v>3</v>
      </c>
      <c r="N15" s="45">
        <f t="array" ref="N15">INDEX(W$14:W$17,MATCH(2,AA$14:AA$17,0))</f>
        <v>3</v>
      </c>
      <c r="O15" s="45">
        <f t="array" ref="O15">INDEX(X$14:X$17,MATCH(2,AA$14:AA$17,0))</f>
        <v>0</v>
      </c>
      <c r="P15" s="46">
        <f t="array" ref="P15">INDEX(Y$14:Y$17,MATCH(2,AA$14:AA$17,0))</f>
        <v>2</v>
      </c>
      <c r="Q15" s="16" t="str">
        <f t="shared" si="2"/>
        <v>Cabo Verde</v>
      </c>
      <c r="R15" s="16">
        <f>((D5&lt;&gt;"")*( F5&lt;&gt;""))+((D8&lt;&gt;"")*( F8&lt;&gt;""))+((D9&lt;&gt;"")*( F9&lt;&gt;""))</f>
        <v>2</v>
      </c>
      <c r="S15" s="16">
        <f>IF(AND(D5&lt;&gt;"",F5&lt;&gt;""),IF(F5&gt;D5,1,0),0)+IF(AND(D8&lt;&gt;"",F8&lt;&gt;""),IF(F8&gt;D8,1,0),0)+IF(AND(D9&lt;&gt;"",F9&lt;&gt;""),IF(D9&gt;F9,1,0),0)</f>
        <v>0</v>
      </c>
      <c r="T15" s="16">
        <f>IF(AND(D5&lt;&gt;"",F5&lt;&gt;""),IF(D5=F5,1,0),0)+IF(AND(D8&lt;&gt;"",F8&lt;&gt;""),IF(D8=F8,1,0),0)+IF(AND(D9&lt;&gt;"",F9&lt;&gt;""),IF(D9=F9,1,0),0)</f>
        <v>2</v>
      </c>
      <c r="U15" s="16">
        <f>IF(AND(D5&lt;&gt;"",F5&lt;&gt;""),IF(F5&lt;D5,1,0),0)+IF(AND(D8&lt;&gt;"",F8&lt;&gt;""),IF(F8&lt;D8,1,0),0)+IF(AND(D9&lt;&gt;"",F9&lt;&gt;""),IF(D9&lt;F9,1,0),0)</f>
        <v>0</v>
      </c>
      <c r="V15" s="47">
        <f>IF(F5="",0,F5)+IF(F8="",0,F8)+IF(D9="",0,D9)</f>
        <v>2</v>
      </c>
      <c r="W15" s="47">
        <f>IF(D5="",0,D5)+IF(D8="",0,D8)+IF(F9="",0,F9)</f>
        <v>2</v>
      </c>
      <c r="X15" s="47">
        <f t="shared" si="3"/>
        <v>0</v>
      </c>
      <c r="Y15" s="16">
        <f t="shared" si="4"/>
        <v>2</v>
      </c>
      <c r="Z15" s="16">
        <f>Y15*1000000+(X15+100)*10000+V15*100+3</f>
        <v>3000203</v>
      </c>
      <c r="AA15" s="16">
        <f t="shared" si="5"/>
        <v>3</v>
      </c>
    </row>
    <row r="16" ht="21.75" customHeight="1">
      <c r="A16" s="48">
        <v>3.0</v>
      </c>
      <c r="B16" s="27" t="str">
        <f t="array" ref="B16">INDEX(Q$14:Q$17,MATCH(3,AA$14:AA$17,0))</f>
        <v>Cabo Verde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2</v>
      </c>
      <c r="J16" s="44">
        <f t="array" ref="J16">INDEX(S$14:S$17,MATCH(3,AA$14:AA$17,0))</f>
        <v>0</v>
      </c>
      <c r="K16" s="44">
        <f t="array" ref="K16">INDEX(T$14:T$17,MATCH(3,AA$14:AA$17,0))</f>
        <v>2</v>
      </c>
      <c r="L16" s="44">
        <f t="array" ref="L16">INDEX(U$14:U$17,MATCH(3,AA$14:AA$17,0))</f>
        <v>0</v>
      </c>
      <c r="M16" s="45">
        <f t="array" ref="M16">INDEX(V$14:V$17,MATCH(3,AA$14:AA$17,0))</f>
        <v>2</v>
      </c>
      <c r="N16" s="45">
        <f t="array" ref="N16">INDEX(W$14:W$17,MATCH(3,AA$14:AA$17,0))</f>
        <v>2</v>
      </c>
      <c r="O16" s="45">
        <f t="array" ref="O16">INDEX(X$14:X$17,MATCH(3,AA$14:AA$17,0))</f>
        <v>0</v>
      </c>
      <c r="P16" s="49">
        <f t="array" ref="P16">INDEX(Y$14:Y$17,MATCH(3,AA$14:AA$17,0))</f>
        <v>2</v>
      </c>
      <c r="Q16" s="16" t="str">
        <f t="shared" si="2"/>
        <v>Arábia Saudita</v>
      </c>
      <c r="R16" s="16">
        <f>((D6&lt;&gt;"")*( F6&lt;&gt;""))+((D7&lt;&gt;"")*( F7&lt;&gt;""))+((D9&lt;&gt;"")*( F9&lt;&gt;""))</f>
        <v>2</v>
      </c>
      <c r="S16" s="16">
        <f>IF(AND(D6&lt;&gt;"",F6&lt;&gt;""),IF(D6&gt;F6,1,0),0)+IF(AND(D7&lt;&gt;"",F7&lt;&gt;""),IF(F7&gt;D7,1,0),0)+IF(AND(D9&lt;&gt;"",F9&lt;&gt;""),IF(F9&gt;D9,1,0),0)</f>
        <v>0</v>
      </c>
      <c r="T16" s="16">
        <f>IF(AND(D6&lt;&gt;"",F6&lt;&gt;""),IF(D6=F6,1,0),0)+IF(AND(D7&lt;&gt;"",F7&lt;&gt;""),IF(D7=F7,1,0),0)+IF(AND(D9&lt;&gt;"",F9&lt;&gt;""),IF(D9=F9,1,0),0)</f>
        <v>1</v>
      </c>
      <c r="U16" s="16">
        <f>IF(AND(D6&lt;&gt;"",F6&lt;&gt;""),IF(D6&lt;F6,1,0),0)+IF(AND(D7&lt;&gt;"",F7&lt;&gt;""),IF(F7&lt;D7,1,0),0)+IF(AND(D9&lt;&gt;"",F9&lt;&gt;""),IF(F9&lt;D9,1,0),0)</f>
        <v>1</v>
      </c>
      <c r="V16" s="47">
        <f>IF(D6="",0,D6)+IF(F7="",0,F7)+IF(F9="",0,F9)</f>
        <v>1</v>
      </c>
      <c r="W16" s="47">
        <f>IF(F6="",0,F6)+IF(D7="",0,D7)+IF(D9="",0,D9)</f>
        <v>5</v>
      </c>
      <c r="X16" s="47">
        <f t="shared" si="3"/>
        <v>-4</v>
      </c>
      <c r="Y16" s="16">
        <f t="shared" si="4"/>
        <v>1</v>
      </c>
      <c r="Z16" s="16">
        <f>Y16*1000000+(X16+100)*10000+V16*100+2</f>
        <v>1960102</v>
      </c>
      <c r="AA16" s="16">
        <f t="shared" si="5"/>
        <v>4</v>
      </c>
    </row>
    <row r="17" ht="21.75" customHeight="1">
      <c r="A17" s="50">
        <v>4.0</v>
      </c>
      <c r="B17" s="27" t="str">
        <f t="array" ref="B17">INDEX(Q$14:Q$17,MATCH(4,AA$14:AA$17,0))</f>
        <v>Arábia Saudita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2</v>
      </c>
      <c r="J17" s="44">
        <f t="array" ref="J17">INDEX(S$14:S$17,MATCH(4,AA$14:AA$17,0))</f>
        <v>0</v>
      </c>
      <c r="K17" s="44">
        <f t="array" ref="K17">INDEX(T$14:T$17,MATCH(4,AA$14:AA$17,0))</f>
        <v>1</v>
      </c>
      <c r="L17" s="44">
        <f t="array" ref="L17">INDEX(U$14:U$17,MATCH(4,AA$14:AA$17,0))</f>
        <v>1</v>
      </c>
      <c r="M17" s="45">
        <f t="array" ref="M17">INDEX(V$14:V$17,MATCH(4,AA$14:AA$17,0))</f>
        <v>1</v>
      </c>
      <c r="N17" s="45">
        <f t="array" ref="N17">INDEX(W$14:W$17,MATCH(4,AA$14:AA$17,0))</f>
        <v>5</v>
      </c>
      <c r="O17" s="45">
        <f t="array" ref="O17">INDEX(X$14:X$17,MATCH(4,AA$14:AA$17,0))</f>
        <v>-4</v>
      </c>
      <c r="P17" s="51">
        <f t="array" ref="P17">INDEX(Y$14:Y$17,MATCH(4,AA$14:AA$17,0))</f>
        <v>1</v>
      </c>
      <c r="Q17" s="16" t="str">
        <f t="shared" si="2"/>
        <v>Uruguai</v>
      </c>
      <c r="R17" s="16">
        <f>((D6&lt;&gt;"")*( F6&lt;&gt;""))+((D8&lt;&gt;"")*( F8&lt;&gt;""))+((D10&lt;&gt;"")*( F10&lt;&gt;""))</f>
        <v>2</v>
      </c>
      <c r="S17" s="16">
        <f>IF(AND(D6&lt;&gt;"",F6&lt;&gt;""),IF(F6&gt;D6,1,0),0)+IF(AND(D8&lt;&gt;"",F8&lt;&gt;""),IF(D8&gt;F8,1,0),0)+IF(AND(D10&lt;&gt;"",F10&lt;&gt;""),IF(D10&gt;F10,1,0),0)</f>
        <v>0</v>
      </c>
      <c r="T17" s="16">
        <f>IF(AND(D6&lt;&gt;"",F6&lt;&gt;""),IF(D6=F6,1,0),0)+IF(AND(D8&lt;&gt;"",F8&lt;&gt;""),IF(D8=F8,1,0),0)+IF(AND(D10&lt;&gt;"",F10&lt;&gt;""),IF(D10=F10,1,0),0)</f>
        <v>2</v>
      </c>
      <c r="U17" s="16">
        <f>IF(AND(D6&lt;&gt;"",F6&lt;&gt;""),IF(F6&lt;D6,1,0),0)+IF(AND(D8&lt;&gt;"",F8&lt;&gt;""),IF(D8&lt;F8,1,0),0)+IF(AND(D10&lt;&gt;"",F10&lt;&gt;""),IF(D10&lt;F10,1,0),0)</f>
        <v>0</v>
      </c>
      <c r="V17" s="47">
        <f>IF(F6="",0,F6)+IF(D8="",0,D8)+IF(D10="",0,D10)</f>
        <v>3</v>
      </c>
      <c r="W17" s="47">
        <f>IF(D6="",0,D6)+IF(F8="",0,F8)+IF(F10="",0,F10)</f>
        <v>3</v>
      </c>
      <c r="X17" s="47">
        <f t="shared" si="3"/>
        <v>0</v>
      </c>
      <c r="Y17" s="16">
        <f t="shared" si="4"/>
        <v>2</v>
      </c>
      <c r="Z17" s="16">
        <f>Y17*1000000+(X17+100)*10000+V17*100+1</f>
        <v>3000301</v>
      </c>
      <c r="AA17" s="16">
        <f t="shared" si="5"/>
        <v>2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E" location="'Gr-E'!A1" ref="M7"/>
    <hyperlink display="F" location="'Gr-F'!A1" ref="N7"/>
    <hyperlink display="G" location="'Gr-G'!A1" ref="O7"/>
    <hyperlink display="I" location="'Gr-I'!A1" ref="M8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161</v>
      </c>
      <c r="B5" s="23" t="str">
        <f>Q5</f>
        <v>França</v>
      </c>
      <c r="C5" s="24"/>
      <c r="D5" s="40">
        <v>3.0</v>
      </c>
      <c r="E5" s="26" t="s">
        <v>39</v>
      </c>
      <c r="F5" s="40">
        <v>1.0</v>
      </c>
      <c r="G5" s="24"/>
      <c r="H5" s="27" t="str">
        <f>Q6</f>
        <v>Senegal</v>
      </c>
      <c r="I5" s="28" t="s">
        <v>91</v>
      </c>
      <c r="J5" s="20"/>
      <c r="K5" s="21"/>
      <c r="M5" s="29" t="s">
        <v>41</v>
      </c>
      <c r="N5" s="30"/>
      <c r="O5" s="30"/>
      <c r="P5" s="31"/>
      <c r="Q5" s="16" t="s">
        <v>162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163</v>
      </c>
      <c r="B6" s="33" t="str">
        <f>Q7</f>
        <v>Iraque</v>
      </c>
      <c r="C6" s="34"/>
      <c r="D6" s="40">
        <v>1.0</v>
      </c>
      <c r="E6" s="35" t="s">
        <v>39</v>
      </c>
      <c r="F6" s="40">
        <v>4.0</v>
      </c>
      <c r="G6" s="34"/>
      <c r="H6" s="36" t="str">
        <f>Q8</f>
        <v>Noruega</v>
      </c>
      <c r="I6" s="37" t="s">
        <v>94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164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165</v>
      </c>
      <c r="B7" s="23" t="str">
        <f>Q5</f>
        <v>França</v>
      </c>
      <c r="C7" s="24"/>
      <c r="D7" s="25"/>
      <c r="E7" s="26" t="s">
        <v>39</v>
      </c>
      <c r="F7" s="25"/>
      <c r="G7" s="24"/>
      <c r="H7" s="27" t="str">
        <f>Q7</f>
        <v>Iraque</v>
      </c>
      <c r="I7" s="28" t="s">
        <v>99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166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167</v>
      </c>
      <c r="B8" s="33" t="str">
        <f>Q8</f>
        <v>Noruega</v>
      </c>
      <c r="C8" s="34"/>
      <c r="D8" s="25"/>
      <c r="E8" s="35" t="s">
        <v>39</v>
      </c>
      <c r="F8" s="25"/>
      <c r="G8" s="34"/>
      <c r="H8" s="36" t="str">
        <f>Q6</f>
        <v>Senegal</v>
      </c>
      <c r="I8" s="37" t="s">
        <v>91</v>
      </c>
      <c r="J8" s="20"/>
      <c r="K8" s="21"/>
      <c r="M8" s="38" t="s">
        <v>58</v>
      </c>
      <c r="N8" s="39" t="s">
        <v>59</v>
      </c>
      <c r="O8" s="39" t="s">
        <v>60</v>
      </c>
      <c r="P8" s="39" t="s">
        <v>61</v>
      </c>
      <c r="Q8" s="16" t="s">
        <v>168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169</v>
      </c>
      <c r="B9" s="23" t="str">
        <f>Q8</f>
        <v>Noruega</v>
      </c>
      <c r="C9" s="24"/>
      <c r="D9" s="25"/>
      <c r="E9" s="26" t="s">
        <v>39</v>
      </c>
      <c r="F9" s="25"/>
      <c r="G9" s="24"/>
      <c r="H9" s="27" t="str">
        <f>Q5</f>
        <v>França</v>
      </c>
      <c r="I9" s="28" t="s">
        <v>94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169</v>
      </c>
      <c r="B10" s="33" t="str">
        <f>Q6</f>
        <v>Senegal</v>
      </c>
      <c r="C10" s="34"/>
      <c r="D10" s="25"/>
      <c r="E10" s="35" t="s">
        <v>39</v>
      </c>
      <c r="F10" s="25"/>
      <c r="G10" s="34"/>
      <c r="H10" s="36" t="str">
        <f>Q7</f>
        <v>Iraque</v>
      </c>
      <c r="I10" s="37" t="s">
        <v>122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Noruega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1</v>
      </c>
      <c r="J14" s="44">
        <f t="array" ref="J14">INDEX(S$14:S$17,MATCH(1,AA$14:AA$17,0))</f>
        <v>1</v>
      </c>
      <c r="K14" s="44">
        <f t="array" ref="K14">INDEX(T$14:T$17,MATCH(1,AA$14:AA$17,0))</f>
        <v>0</v>
      </c>
      <c r="L14" s="44">
        <f t="array" ref="L14">INDEX(U$14:U$17,MATCH(1,AA$14:AA$17,0))</f>
        <v>0</v>
      </c>
      <c r="M14" s="45">
        <f t="array" ref="M14">INDEX(V$14:V$17,MATCH(1,AA$14:AA$17,0))</f>
        <v>4</v>
      </c>
      <c r="N14" s="45">
        <f t="array" ref="N14">INDEX(W$14:W$17,MATCH(1,AA$14:AA$17,0))</f>
        <v>1</v>
      </c>
      <c r="O14" s="45">
        <f t="array" ref="O14">INDEX(X$14:X$17,MATCH(1,AA$14:AA$17,0))</f>
        <v>3</v>
      </c>
      <c r="P14" s="46">
        <f t="array" ref="P14">INDEX(Y$14:Y$17,MATCH(1,AA$14:AA$17,0))</f>
        <v>3</v>
      </c>
      <c r="Q14" s="16" t="str">
        <f t="shared" ref="Q14:Q17" si="1">Q5</f>
        <v>França</v>
      </c>
      <c r="R14" s="16">
        <f>((D5&lt;&gt;"")*( F5&lt;&gt;""))+((D7&lt;&gt;"")*( F7&lt;&gt;""))+((D9&lt;&gt;"")*( F9&lt;&gt;""))</f>
        <v>1</v>
      </c>
      <c r="S14" s="16">
        <f>IF(AND(D5&lt;&gt;"",F5&lt;&gt;""),IF(D5&gt;F5,1,0),0)+IF(AND(D7&lt;&gt;"",F7&lt;&gt;""),IF(D7&gt;F7,1,0),0)+IF(AND(D9&lt;&gt;"",F9&lt;&gt;""),IF(F9&gt;D9,1,0),0)</f>
        <v>1</v>
      </c>
      <c r="T14" s="16">
        <f>IF(AND(D5&lt;&gt;"",F5&lt;&gt;""),IF(D5=F5,1,0),0)+IF(AND(D7&lt;&gt;"",F7&lt;&gt;""),IF(D7=F7,1,0),0)+IF(AND(D9&lt;&gt;"",F9&lt;&gt;""),IF(D9=F9,1,0),0)</f>
        <v>0</v>
      </c>
      <c r="U14" s="16">
        <f>IF(AND(D5&lt;&gt;"",F5&lt;&gt;""),IF(D5&lt;F5,1,0),0)+IF(AND(D7&lt;&gt;"",F7&lt;&gt;""),IF(D7&lt;F7,1,0),0)+IF(AND(D9&lt;&gt;"",F9&lt;&gt;""),IF(F9&lt;D9,1,0),0)</f>
        <v>0</v>
      </c>
      <c r="V14" s="47">
        <f>IF(D5="",0,D5)+IF(D7="",0,D7)+IF(F9="",0,F9)</f>
        <v>3</v>
      </c>
      <c r="W14" s="47">
        <f>IF(F5="",0,F5)+IF(F7="",0,F7)+IF(D9="",0,D9)</f>
        <v>1</v>
      </c>
      <c r="X14" s="47">
        <f t="shared" ref="X14:X17" si="2">V14-W14</f>
        <v>2</v>
      </c>
      <c r="Y14" s="16">
        <f t="shared" ref="Y14:Y17" si="3">S14*3+T14</f>
        <v>3</v>
      </c>
      <c r="Z14" s="16">
        <f>Y14*1000000+(X14+100)*10000+V14*100+4</f>
        <v>4020304</v>
      </c>
      <c r="AA14" s="16">
        <f t="shared" ref="AA14:AA17" si="4">RANK(Z14,Z$14:Z$17,0)</f>
        <v>2</v>
      </c>
    </row>
    <row r="15" ht="21.75" customHeight="1">
      <c r="A15" s="42">
        <v>2.0</v>
      </c>
      <c r="B15" s="27" t="str">
        <f t="array" ref="B15">INDEX(Q$14:Q$17,MATCH(2,AA$14:AA$17,0))</f>
        <v>França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1</v>
      </c>
      <c r="J15" s="44">
        <f t="array" ref="J15">INDEX(S$14:S$17,MATCH(2,AA$14:AA$17,0))</f>
        <v>1</v>
      </c>
      <c r="K15" s="44">
        <f t="array" ref="K15">INDEX(T$14:T$17,MATCH(2,AA$14:AA$17,0))</f>
        <v>0</v>
      </c>
      <c r="L15" s="44">
        <f t="array" ref="L15">INDEX(U$14:U$17,MATCH(2,AA$14:AA$17,0))</f>
        <v>0</v>
      </c>
      <c r="M15" s="45">
        <f t="array" ref="M15">INDEX(V$14:V$17,MATCH(2,AA$14:AA$17,0))</f>
        <v>3</v>
      </c>
      <c r="N15" s="45">
        <f t="array" ref="N15">INDEX(W$14:W$17,MATCH(2,AA$14:AA$17,0))</f>
        <v>1</v>
      </c>
      <c r="O15" s="45">
        <f t="array" ref="O15">INDEX(X$14:X$17,MATCH(2,AA$14:AA$17,0))</f>
        <v>2</v>
      </c>
      <c r="P15" s="46">
        <f t="array" ref="P15">INDEX(Y$14:Y$17,MATCH(2,AA$14:AA$17,0))</f>
        <v>3</v>
      </c>
      <c r="Q15" s="16" t="str">
        <f t="shared" si="1"/>
        <v>Senegal</v>
      </c>
      <c r="R15" s="16">
        <f>((D5&lt;&gt;"")*( F5&lt;&gt;""))+((D8&lt;&gt;"")*( F8&lt;&gt;""))+((D10&lt;&gt;"")*( F10&lt;&gt;""))</f>
        <v>1</v>
      </c>
      <c r="S15" s="16">
        <f>IF(AND(D5&lt;&gt;"",F5&lt;&gt;""),IF(F5&gt;D5,1,0),0)+IF(AND(D8&lt;&gt;"",F8&lt;&gt;""),IF(F8&gt;D8,1,0),0)+IF(AND(D10&lt;&gt;"",F10&lt;&gt;""),IF(D10&gt;F10,1,0),0)</f>
        <v>0</v>
      </c>
      <c r="T15" s="16">
        <f>IF(AND(D5&lt;&gt;"",F5&lt;&gt;""),IF(D5=F5,1,0),0)+IF(AND(D8&lt;&gt;"",F8&lt;&gt;""),IF(D8=F8,1,0),0)+IF(AND(D10&lt;&gt;"",F10&lt;&gt;""),IF(D10=F10,1,0),0)</f>
        <v>0</v>
      </c>
      <c r="U15" s="16">
        <f>IF(AND(D5&lt;&gt;"",F5&lt;&gt;""),IF(F5&lt;D5,1,0),0)+IF(AND(D8&lt;&gt;"",F8&lt;&gt;""),IF(F8&lt;D8,1,0),0)+IF(AND(D10&lt;&gt;"",F10&lt;&gt;""),IF(D10&lt;F10,1,0),0)</f>
        <v>1</v>
      </c>
      <c r="V15" s="47">
        <f>IF(F5="",0,F5)+IF(F8="",0,F8)+IF(D10="",0,D10)</f>
        <v>1</v>
      </c>
      <c r="W15" s="47">
        <f>IF(D5="",0,D5)+IF(D8="",0,D8)+IF(F10="",0,F10)</f>
        <v>3</v>
      </c>
      <c r="X15" s="47">
        <f t="shared" si="2"/>
        <v>-2</v>
      </c>
      <c r="Y15" s="16">
        <f t="shared" si="3"/>
        <v>0</v>
      </c>
      <c r="Z15" s="16">
        <f>Y15*1000000+(X15+100)*10000+V15*100+3</f>
        <v>980103</v>
      </c>
      <c r="AA15" s="16">
        <f t="shared" si="4"/>
        <v>3</v>
      </c>
    </row>
    <row r="16" ht="21.75" customHeight="1">
      <c r="A16" s="48">
        <v>3.0</v>
      </c>
      <c r="B16" s="27" t="str">
        <f t="array" ref="B16">INDEX(Q$14:Q$17,MATCH(3,AA$14:AA$17,0))</f>
        <v>Senegal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1</v>
      </c>
      <c r="J16" s="44">
        <f t="array" ref="J16">INDEX(S$14:S$17,MATCH(3,AA$14:AA$17,0))</f>
        <v>0</v>
      </c>
      <c r="K16" s="44">
        <f t="array" ref="K16">INDEX(T$14:T$17,MATCH(3,AA$14:AA$17,0))</f>
        <v>0</v>
      </c>
      <c r="L16" s="44">
        <f t="array" ref="L16">INDEX(U$14:U$17,MATCH(3,AA$14:AA$17,0))</f>
        <v>1</v>
      </c>
      <c r="M16" s="45">
        <f t="array" ref="M16">INDEX(V$14:V$17,MATCH(3,AA$14:AA$17,0))</f>
        <v>1</v>
      </c>
      <c r="N16" s="45">
        <f t="array" ref="N16">INDEX(W$14:W$17,MATCH(3,AA$14:AA$17,0))</f>
        <v>3</v>
      </c>
      <c r="O16" s="45">
        <f t="array" ref="O16">INDEX(X$14:X$17,MATCH(3,AA$14:AA$17,0))</f>
        <v>-2</v>
      </c>
      <c r="P16" s="49">
        <f t="array" ref="P16">INDEX(Y$14:Y$17,MATCH(3,AA$14:AA$17,0))</f>
        <v>0</v>
      </c>
      <c r="Q16" s="16" t="str">
        <f t="shared" si="1"/>
        <v>Iraque</v>
      </c>
      <c r="R16" s="16">
        <f>((D6&lt;&gt;"")*( F6&lt;&gt;""))+((D7&lt;&gt;"")*( F7&lt;&gt;""))+((D10&lt;&gt;"")*( F10&lt;&gt;""))</f>
        <v>1</v>
      </c>
      <c r="S16" s="16">
        <f>IF(AND(D6&lt;&gt;"",F6&lt;&gt;""),IF(D6&gt;F6,1,0),0)+IF(AND(D7&lt;&gt;"",F7&lt;&gt;""),IF(F7&gt;D7,1,0),0)+IF(AND(D10&lt;&gt;"",F10&lt;&gt;""),IF(F10&gt;D10,1,0),0)</f>
        <v>0</v>
      </c>
      <c r="T16" s="16">
        <f>IF(AND(D6&lt;&gt;"",F6&lt;&gt;""),IF(D6=F6,1,0),0)+IF(AND(D7&lt;&gt;"",F7&lt;&gt;""),IF(D7=F7,1,0),0)+IF(AND(D10&lt;&gt;"",F10&lt;&gt;""),IF(D10=F10,1,0),0)</f>
        <v>0</v>
      </c>
      <c r="U16" s="16">
        <f>IF(AND(D6&lt;&gt;"",F6&lt;&gt;""),IF(D6&lt;F6,1,0),0)+IF(AND(D7&lt;&gt;"",F7&lt;&gt;""),IF(F7&lt;D7,1,0),0)+IF(AND(D10&lt;&gt;"",F10&lt;&gt;""),IF(F10&lt;D10,1,0),0)</f>
        <v>1</v>
      </c>
      <c r="V16" s="47">
        <f>IF(D6="",0,D6)+IF(F7="",0,F7)+IF(F10="",0,F10)</f>
        <v>1</v>
      </c>
      <c r="W16" s="47">
        <f>IF(F6="",0,F6)+IF(D7="",0,D7)+IF(D10="",0,D10)</f>
        <v>4</v>
      </c>
      <c r="X16" s="47">
        <f t="shared" si="2"/>
        <v>-3</v>
      </c>
      <c r="Y16" s="16">
        <f t="shared" si="3"/>
        <v>0</v>
      </c>
      <c r="Z16" s="16">
        <f>Y16*1000000+(X16+100)*10000+V16*100+2</f>
        <v>970102</v>
      </c>
      <c r="AA16" s="16">
        <f t="shared" si="4"/>
        <v>4</v>
      </c>
    </row>
    <row r="17" ht="21.75" customHeight="1">
      <c r="A17" s="50">
        <v>4.0</v>
      </c>
      <c r="B17" s="27" t="str">
        <f t="array" ref="B17">INDEX(Q$14:Q$17,MATCH(4,AA$14:AA$17,0))</f>
        <v>Iraque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1</v>
      </c>
      <c r="J17" s="44">
        <f t="array" ref="J17">INDEX(S$14:S$17,MATCH(4,AA$14:AA$17,0))</f>
        <v>0</v>
      </c>
      <c r="K17" s="44">
        <f t="array" ref="K17">INDEX(T$14:T$17,MATCH(4,AA$14:AA$17,0))</f>
        <v>0</v>
      </c>
      <c r="L17" s="44">
        <f t="array" ref="L17">INDEX(U$14:U$17,MATCH(4,AA$14:AA$17,0))</f>
        <v>1</v>
      </c>
      <c r="M17" s="45">
        <f t="array" ref="M17">INDEX(V$14:V$17,MATCH(4,AA$14:AA$17,0))</f>
        <v>1</v>
      </c>
      <c r="N17" s="45">
        <f t="array" ref="N17">INDEX(W$14:W$17,MATCH(4,AA$14:AA$17,0))</f>
        <v>4</v>
      </c>
      <c r="O17" s="45">
        <f t="array" ref="O17">INDEX(X$14:X$17,MATCH(4,AA$14:AA$17,0))</f>
        <v>-3</v>
      </c>
      <c r="P17" s="51">
        <f t="array" ref="P17">INDEX(Y$14:Y$17,MATCH(4,AA$14:AA$17,0))</f>
        <v>0</v>
      </c>
      <c r="Q17" s="16" t="str">
        <f t="shared" si="1"/>
        <v>Noruega</v>
      </c>
      <c r="R17" s="16">
        <f>((D6&lt;&gt;"")*( F6&lt;&gt;""))+((D8&lt;&gt;"")*( F8&lt;&gt;""))+((D9&lt;&gt;"")*( F9&lt;&gt;""))</f>
        <v>1</v>
      </c>
      <c r="S17" s="16">
        <f>IF(AND(D6&lt;&gt;"",F6&lt;&gt;""),IF(F6&gt;D6,1,0),0)+IF(AND(D8&lt;&gt;"",F8&lt;&gt;""),IF(D8&gt;F8,1,0),0)+IF(AND(D9&lt;&gt;"",F9&lt;&gt;""),IF(D9&gt;F9,1,0),0)</f>
        <v>1</v>
      </c>
      <c r="T17" s="16">
        <f>IF(AND(D6&lt;&gt;"",F6&lt;&gt;""),IF(D6=F6,1,0),0)+IF(AND(D8&lt;&gt;"",F8&lt;&gt;""),IF(D8=F8,1,0),0)+IF(AND(D9&lt;&gt;"",F9&lt;&gt;""),IF(D9=F9,1,0),0)</f>
        <v>0</v>
      </c>
      <c r="U17" s="16">
        <f>IF(AND(D6&lt;&gt;"",F6&lt;&gt;""),IF(F6&lt;D6,1,0),0)+IF(AND(D8&lt;&gt;"",F8&lt;&gt;""),IF(D8&lt;F8,1,0),0)+IF(AND(D9&lt;&gt;"",F9&lt;&gt;""),IF(D9&lt;F9,1,0),0)</f>
        <v>0</v>
      </c>
      <c r="V17" s="47">
        <f>IF(F6="",0,F6)+IF(D8="",0,D8)+IF(D9="",0,D9)</f>
        <v>4</v>
      </c>
      <c r="W17" s="47">
        <f>IF(D6="",0,D6)+IF(F8="",0,F8)+IF(F9="",0,F9)</f>
        <v>1</v>
      </c>
      <c r="X17" s="47">
        <f t="shared" si="2"/>
        <v>3</v>
      </c>
      <c r="Y17" s="16">
        <f t="shared" si="3"/>
        <v>3</v>
      </c>
      <c r="Z17" s="16">
        <f>Y17*1000000+(X17+100)*10000+V17*100+1</f>
        <v>4030401</v>
      </c>
      <c r="AA17" s="16">
        <f t="shared" si="4"/>
        <v>1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E" location="'Gr-E'!A1" ref="M7"/>
    <hyperlink display="F" location="'Gr-F'!A1" ref="N7"/>
    <hyperlink display="G" location="'Gr-G'!A1" ref="O7"/>
    <hyperlink display="H" location="'Gr-H'!A1" ref="P7"/>
    <hyperlink display="J" location="'Gr-J'!A1" ref="N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171</v>
      </c>
      <c r="B5" s="23" t="str">
        <f>Q5</f>
        <v>Argentina</v>
      </c>
      <c r="C5" s="24"/>
      <c r="D5" s="40">
        <v>3.0</v>
      </c>
      <c r="E5" s="26" t="s">
        <v>39</v>
      </c>
      <c r="F5" s="40">
        <v>0.0</v>
      </c>
      <c r="G5" s="24"/>
      <c r="H5" s="27" t="str">
        <f>Q6</f>
        <v>Argélia</v>
      </c>
      <c r="I5" s="28" t="s">
        <v>125</v>
      </c>
      <c r="J5" s="20"/>
      <c r="K5" s="21"/>
      <c r="M5" s="29" t="s">
        <v>41</v>
      </c>
      <c r="N5" s="30"/>
      <c r="O5" s="30"/>
      <c r="P5" s="31"/>
      <c r="Q5" s="16" t="s">
        <v>172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173</v>
      </c>
      <c r="B6" s="33" t="str">
        <f>Q7</f>
        <v>Áustria</v>
      </c>
      <c r="C6" s="34"/>
      <c r="D6" s="40">
        <v>3.0</v>
      </c>
      <c r="E6" s="35" t="s">
        <v>39</v>
      </c>
      <c r="F6" s="40">
        <v>1.0</v>
      </c>
      <c r="G6" s="34"/>
      <c r="H6" s="36" t="str">
        <f>Q8</f>
        <v>Jordânia</v>
      </c>
      <c r="I6" s="37" t="s">
        <v>79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174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175</v>
      </c>
      <c r="B7" s="23" t="str">
        <f>Q5</f>
        <v>Argentina</v>
      </c>
      <c r="C7" s="24"/>
      <c r="D7" s="40">
        <v>2.0</v>
      </c>
      <c r="E7" s="26" t="s">
        <v>39</v>
      </c>
      <c r="F7" s="40">
        <v>0.0</v>
      </c>
      <c r="G7" s="24"/>
      <c r="H7" s="27" t="str">
        <f>Q7</f>
        <v>Áustria</v>
      </c>
      <c r="I7" s="28" t="s">
        <v>130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176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177</v>
      </c>
      <c r="B8" s="33" t="str">
        <f>Q8</f>
        <v>Jordânia</v>
      </c>
      <c r="C8" s="34"/>
      <c r="D8" s="25"/>
      <c r="E8" s="35" t="s">
        <v>39</v>
      </c>
      <c r="F8" s="25"/>
      <c r="G8" s="34"/>
      <c r="H8" s="36" t="str">
        <f t="shared" ref="H8:H9" si="1">Q6</f>
        <v>Argélia</v>
      </c>
      <c r="I8" s="37" t="s">
        <v>112</v>
      </c>
      <c r="J8" s="20"/>
      <c r="K8" s="21"/>
      <c r="M8" s="39" t="s">
        <v>58</v>
      </c>
      <c r="N8" s="38" t="s">
        <v>59</v>
      </c>
      <c r="O8" s="39" t="s">
        <v>60</v>
      </c>
      <c r="P8" s="39" t="s">
        <v>61</v>
      </c>
      <c r="Q8" s="16" t="s">
        <v>178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179</v>
      </c>
      <c r="B9" s="23" t="str">
        <f>Q6</f>
        <v>Argélia</v>
      </c>
      <c r="C9" s="24"/>
      <c r="D9" s="25"/>
      <c r="E9" s="26" t="s">
        <v>39</v>
      </c>
      <c r="F9" s="25"/>
      <c r="G9" s="24"/>
      <c r="H9" s="27" t="str">
        <f t="shared" si="1"/>
        <v>Áustria</v>
      </c>
      <c r="I9" s="28" t="s">
        <v>125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179</v>
      </c>
      <c r="B10" s="33" t="str">
        <f>Q8</f>
        <v>Jordânia</v>
      </c>
      <c r="C10" s="34"/>
      <c r="D10" s="25"/>
      <c r="E10" s="35" t="s">
        <v>39</v>
      </c>
      <c r="F10" s="25"/>
      <c r="G10" s="34"/>
      <c r="H10" s="36" t="str">
        <f>Q5</f>
        <v>Argentina</v>
      </c>
      <c r="I10" s="37" t="s">
        <v>130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Argentina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2</v>
      </c>
      <c r="J14" s="44">
        <f t="array" ref="J14">INDEX(S$14:S$17,MATCH(1,AA$14:AA$17,0))</f>
        <v>2</v>
      </c>
      <c r="K14" s="44">
        <f t="array" ref="K14">INDEX(T$14:T$17,MATCH(1,AA$14:AA$17,0))</f>
        <v>0</v>
      </c>
      <c r="L14" s="44">
        <f t="array" ref="L14">INDEX(U$14:U$17,MATCH(1,AA$14:AA$17,0))</f>
        <v>0</v>
      </c>
      <c r="M14" s="45">
        <f t="array" ref="M14">INDEX(V$14:V$17,MATCH(1,AA$14:AA$17,0))</f>
        <v>5</v>
      </c>
      <c r="N14" s="45">
        <f t="array" ref="N14">INDEX(W$14:W$17,MATCH(1,AA$14:AA$17,0))</f>
        <v>0</v>
      </c>
      <c r="O14" s="45">
        <f t="array" ref="O14">INDEX(X$14:X$17,MATCH(1,AA$14:AA$17,0))</f>
        <v>5</v>
      </c>
      <c r="P14" s="46">
        <f t="array" ref="P14">INDEX(Y$14:Y$17,MATCH(1,AA$14:AA$17,0))</f>
        <v>6</v>
      </c>
      <c r="Q14" s="16" t="str">
        <f t="shared" ref="Q14:Q17" si="2">Q5</f>
        <v>Argentina</v>
      </c>
      <c r="R14" s="16">
        <f>((D5&lt;&gt;"")*( F5&lt;&gt;""))+((D7&lt;&gt;"")*( F7&lt;&gt;""))+((D10&lt;&gt;"")*( F10&lt;&gt;""))</f>
        <v>2</v>
      </c>
      <c r="S14" s="16">
        <f>IF(AND(D5&lt;&gt;"",F5&lt;&gt;""),IF(D5&gt;F5,1,0),0)+IF(AND(D7&lt;&gt;"",F7&lt;&gt;""),IF(D7&gt;F7,1,0),0)+IF(AND(D10&lt;&gt;"",F10&lt;&gt;""),IF(F10&gt;D10,1,0),0)</f>
        <v>2</v>
      </c>
      <c r="T14" s="16">
        <f>IF(AND(D5&lt;&gt;"",F5&lt;&gt;""),IF(D5=F5,1,0),0)+IF(AND(D7&lt;&gt;"",F7&lt;&gt;""),IF(D7=F7,1,0),0)+IF(AND(D10&lt;&gt;"",F10&lt;&gt;""),IF(D10=F10,1,0),0)</f>
        <v>0</v>
      </c>
      <c r="U14" s="16">
        <f>IF(AND(D5&lt;&gt;"",F5&lt;&gt;""),IF(D5&lt;F5,1,0),0)+IF(AND(D7&lt;&gt;"",F7&lt;&gt;""),IF(D7&lt;F7,1,0),0)+IF(AND(D10&lt;&gt;"",F10&lt;&gt;""),IF(F10&lt;D10,1,0),0)</f>
        <v>0</v>
      </c>
      <c r="V14" s="47">
        <f>IF(D5="",0,D5)+IF(D7="",0,D7)+IF(F10="",0,F10)</f>
        <v>5</v>
      </c>
      <c r="W14" s="47">
        <f>IF(F5="",0,F5)+IF(F7="",0,F7)+IF(D10="",0,D10)</f>
        <v>0</v>
      </c>
      <c r="X14" s="47">
        <f t="shared" ref="X14:X17" si="3">V14-W14</f>
        <v>5</v>
      </c>
      <c r="Y14" s="16">
        <f t="shared" ref="Y14:Y17" si="4">S14*3+T14</f>
        <v>6</v>
      </c>
      <c r="Z14" s="16">
        <f>Y14*1000000+(X14+100)*10000+V14*100+4</f>
        <v>7050504</v>
      </c>
      <c r="AA14" s="16">
        <f t="shared" ref="AA14:AA17" si="5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Áustria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2</v>
      </c>
      <c r="J15" s="44">
        <f t="array" ref="J15">INDEX(S$14:S$17,MATCH(2,AA$14:AA$17,0))</f>
        <v>1</v>
      </c>
      <c r="K15" s="44">
        <f t="array" ref="K15">INDEX(T$14:T$17,MATCH(2,AA$14:AA$17,0))</f>
        <v>0</v>
      </c>
      <c r="L15" s="44">
        <f t="array" ref="L15">INDEX(U$14:U$17,MATCH(2,AA$14:AA$17,0))</f>
        <v>1</v>
      </c>
      <c r="M15" s="45">
        <f t="array" ref="M15">INDEX(V$14:V$17,MATCH(2,AA$14:AA$17,0))</f>
        <v>3</v>
      </c>
      <c r="N15" s="45">
        <f t="array" ref="N15">INDEX(W$14:W$17,MATCH(2,AA$14:AA$17,0))</f>
        <v>3</v>
      </c>
      <c r="O15" s="45">
        <f t="array" ref="O15">INDEX(X$14:X$17,MATCH(2,AA$14:AA$17,0))</f>
        <v>0</v>
      </c>
      <c r="P15" s="46">
        <f t="array" ref="P15">INDEX(Y$14:Y$17,MATCH(2,AA$14:AA$17,0))</f>
        <v>3</v>
      </c>
      <c r="Q15" s="16" t="str">
        <f t="shared" si="2"/>
        <v>Argélia</v>
      </c>
      <c r="R15" s="16">
        <f>((D5&lt;&gt;"")*( F5&lt;&gt;""))+((D8&lt;&gt;"")*( F8&lt;&gt;""))+((D9&lt;&gt;"")*( F9&lt;&gt;""))</f>
        <v>1</v>
      </c>
      <c r="S15" s="16">
        <f>IF(AND(D5&lt;&gt;"",F5&lt;&gt;""),IF(F5&gt;D5,1,0),0)+IF(AND(D8&lt;&gt;"",F8&lt;&gt;""),IF(F8&gt;D8,1,0),0)+IF(AND(D9&lt;&gt;"",F9&lt;&gt;""),IF(D9&gt;F9,1,0),0)</f>
        <v>0</v>
      </c>
      <c r="T15" s="16">
        <f>IF(AND(D5&lt;&gt;"",F5&lt;&gt;""),IF(D5=F5,1,0),0)+IF(AND(D8&lt;&gt;"",F8&lt;&gt;""),IF(D8=F8,1,0),0)+IF(AND(D9&lt;&gt;"",F9&lt;&gt;""),IF(D9=F9,1,0),0)</f>
        <v>0</v>
      </c>
      <c r="U15" s="16">
        <f>IF(AND(D5&lt;&gt;"",F5&lt;&gt;""),IF(F5&lt;D5,1,0),0)+IF(AND(D8&lt;&gt;"",F8&lt;&gt;""),IF(F8&lt;D8,1,0),0)+IF(AND(D9&lt;&gt;"",F9&lt;&gt;""),IF(D9&lt;F9,1,0),0)</f>
        <v>1</v>
      </c>
      <c r="V15" s="47">
        <f>IF(F5="",0,F5)+IF(F8="",0,F8)+IF(D9="",0,D9)</f>
        <v>0</v>
      </c>
      <c r="W15" s="47">
        <f>IF(D5="",0,D5)+IF(D8="",0,D8)+IF(F9="",0,F9)</f>
        <v>3</v>
      </c>
      <c r="X15" s="47">
        <f t="shared" si="3"/>
        <v>-3</v>
      </c>
      <c r="Y15" s="16">
        <f t="shared" si="4"/>
        <v>0</v>
      </c>
      <c r="Z15" s="16">
        <f>Y15*1000000+(X15+100)*10000+V15*100+3</f>
        <v>970003</v>
      </c>
      <c r="AA15" s="16">
        <f t="shared" si="5"/>
        <v>4</v>
      </c>
    </row>
    <row r="16" ht="21.75" customHeight="1">
      <c r="A16" s="48">
        <v>3.0</v>
      </c>
      <c r="B16" s="27" t="str">
        <f t="array" ref="B16">INDEX(Q$14:Q$17,MATCH(3,AA$14:AA$17,0))</f>
        <v>Jordânia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1</v>
      </c>
      <c r="J16" s="44">
        <f t="array" ref="J16">INDEX(S$14:S$17,MATCH(3,AA$14:AA$17,0))</f>
        <v>0</v>
      </c>
      <c r="K16" s="44">
        <f t="array" ref="K16">INDEX(T$14:T$17,MATCH(3,AA$14:AA$17,0))</f>
        <v>0</v>
      </c>
      <c r="L16" s="44">
        <f t="array" ref="L16">INDEX(U$14:U$17,MATCH(3,AA$14:AA$17,0))</f>
        <v>1</v>
      </c>
      <c r="M16" s="45">
        <f t="array" ref="M16">INDEX(V$14:V$17,MATCH(3,AA$14:AA$17,0))</f>
        <v>1</v>
      </c>
      <c r="N16" s="45">
        <f t="array" ref="N16">INDEX(W$14:W$17,MATCH(3,AA$14:AA$17,0))</f>
        <v>3</v>
      </c>
      <c r="O16" s="45">
        <f t="array" ref="O16">INDEX(X$14:X$17,MATCH(3,AA$14:AA$17,0))</f>
        <v>-2</v>
      </c>
      <c r="P16" s="49">
        <f t="array" ref="P16">INDEX(Y$14:Y$17,MATCH(3,AA$14:AA$17,0))</f>
        <v>0</v>
      </c>
      <c r="Q16" s="16" t="str">
        <f t="shared" si="2"/>
        <v>Áustria</v>
      </c>
      <c r="R16" s="16">
        <f>((D6&lt;&gt;"")*( F6&lt;&gt;""))+((D7&lt;&gt;"")*( F7&lt;&gt;""))+((D9&lt;&gt;"")*( F9&lt;&gt;""))</f>
        <v>2</v>
      </c>
      <c r="S16" s="16">
        <f>IF(AND(D6&lt;&gt;"",F6&lt;&gt;""),IF(D6&gt;F6,1,0),0)+IF(AND(D7&lt;&gt;"",F7&lt;&gt;""),IF(F7&gt;D7,1,0),0)+IF(AND(D9&lt;&gt;"",F9&lt;&gt;""),IF(F9&gt;D9,1,0),0)</f>
        <v>1</v>
      </c>
      <c r="T16" s="16">
        <f>IF(AND(D6&lt;&gt;"",F6&lt;&gt;""),IF(D6=F6,1,0),0)+IF(AND(D7&lt;&gt;"",F7&lt;&gt;""),IF(D7=F7,1,0),0)+IF(AND(D9&lt;&gt;"",F9&lt;&gt;""),IF(D9=F9,1,0),0)</f>
        <v>0</v>
      </c>
      <c r="U16" s="16">
        <f>IF(AND(D6&lt;&gt;"",F6&lt;&gt;""),IF(D6&lt;F6,1,0),0)+IF(AND(D7&lt;&gt;"",F7&lt;&gt;""),IF(F7&lt;D7,1,0),0)+IF(AND(D9&lt;&gt;"",F9&lt;&gt;""),IF(F9&lt;D9,1,0),0)</f>
        <v>1</v>
      </c>
      <c r="V16" s="47">
        <f>IF(D6="",0,D6)+IF(F7="",0,F7)+IF(F9="",0,F9)</f>
        <v>3</v>
      </c>
      <c r="W16" s="47">
        <f>IF(F6="",0,F6)+IF(D7="",0,D7)+IF(D9="",0,D9)</f>
        <v>3</v>
      </c>
      <c r="X16" s="47">
        <f t="shared" si="3"/>
        <v>0</v>
      </c>
      <c r="Y16" s="16">
        <f t="shared" si="4"/>
        <v>3</v>
      </c>
      <c r="Z16" s="16">
        <f>Y16*1000000+(X16+100)*10000+V16*100+2</f>
        <v>4000302</v>
      </c>
      <c r="AA16" s="16">
        <f t="shared" si="5"/>
        <v>2</v>
      </c>
    </row>
    <row r="17" ht="21.75" customHeight="1">
      <c r="A17" s="50">
        <v>4.0</v>
      </c>
      <c r="B17" s="27" t="str">
        <f t="array" ref="B17">INDEX(Q$14:Q$17,MATCH(4,AA$14:AA$17,0))</f>
        <v>Argélia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1</v>
      </c>
      <c r="J17" s="44">
        <f t="array" ref="J17">INDEX(S$14:S$17,MATCH(4,AA$14:AA$17,0))</f>
        <v>0</v>
      </c>
      <c r="K17" s="44">
        <f t="array" ref="K17">INDEX(T$14:T$17,MATCH(4,AA$14:AA$17,0))</f>
        <v>0</v>
      </c>
      <c r="L17" s="44">
        <f t="array" ref="L17">INDEX(U$14:U$17,MATCH(4,AA$14:AA$17,0))</f>
        <v>1</v>
      </c>
      <c r="M17" s="45">
        <f t="array" ref="M17">INDEX(V$14:V$17,MATCH(4,AA$14:AA$17,0))</f>
        <v>0</v>
      </c>
      <c r="N17" s="45">
        <f t="array" ref="N17">INDEX(W$14:W$17,MATCH(4,AA$14:AA$17,0))</f>
        <v>3</v>
      </c>
      <c r="O17" s="45">
        <f t="array" ref="O17">INDEX(X$14:X$17,MATCH(4,AA$14:AA$17,0))</f>
        <v>-3</v>
      </c>
      <c r="P17" s="51">
        <f t="array" ref="P17">INDEX(Y$14:Y$17,MATCH(4,AA$14:AA$17,0))</f>
        <v>0</v>
      </c>
      <c r="Q17" s="16" t="str">
        <f t="shared" si="2"/>
        <v>Jordânia</v>
      </c>
      <c r="R17" s="16">
        <f>((D6&lt;&gt;"")*( F6&lt;&gt;""))+((D8&lt;&gt;"")*( F8&lt;&gt;""))+((D10&lt;&gt;"")*( F10&lt;&gt;""))</f>
        <v>1</v>
      </c>
      <c r="S17" s="16">
        <f>IF(AND(D6&lt;&gt;"",F6&lt;&gt;""),IF(F6&gt;D6,1,0),0)+IF(AND(D8&lt;&gt;"",F8&lt;&gt;""),IF(D8&gt;F8,1,0),0)+IF(AND(D10&lt;&gt;"",F10&lt;&gt;""),IF(D10&gt;F10,1,0),0)</f>
        <v>0</v>
      </c>
      <c r="T17" s="16">
        <f>IF(AND(D6&lt;&gt;"",F6&lt;&gt;""),IF(D6=F6,1,0),0)+IF(AND(D8&lt;&gt;"",F8&lt;&gt;""),IF(D8=F8,1,0),0)+IF(AND(D10&lt;&gt;"",F10&lt;&gt;""),IF(D10=F10,1,0),0)</f>
        <v>0</v>
      </c>
      <c r="U17" s="16">
        <f>IF(AND(D6&lt;&gt;"",F6&lt;&gt;""),IF(F6&lt;D6,1,0),0)+IF(AND(D8&lt;&gt;"",F8&lt;&gt;""),IF(D8&lt;F8,1,0),0)+IF(AND(D10&lt;&gt;"",F10&lt;&gt;""),IF(D10&lt;F10,1,0),0)</f>
        <v>1</v>
      </c>
      <c r="V17" s="47">
        <f>IF(F6="",0,F6)+IF(D8="",0,D8)+IF(D10="",0,D10)</f>
        <v>1</v>
      </c>
      <c r="W17" s="47">
        <f>IF(D6="",0,D6)+IF(F8="",0,F8)+IF(F10="",0,F10)</f>
        <v>3</v>
      </c>
      <c r="X17" s="47">
        <f t="shared" si="3"/>
        <v>-2</v>
      </c>
      <c r="Y17" s="16">
        <f t="shared" si="4"/>
        <v>0</v>
      </c>
      <c r="Z17" s="16">
        <f>Y17*1000000+(X17+100)*10000+V17*100+1</f>
        <v>980101</v>
      </c>
      <c r="AA17" s="16">
        <f t="shared" si="5"/>
        <v>3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E" location="'Gr-E'!A1" ref="M7"/>
    <hyperlink display="F" location="'Gr-F'!A1" ref="N7"/>
    <hyperlink display="G" location="'Gr-G'!A1" ref="O7"/>
    <hyperlink display="H" location="'Gr-H'!A1" ref="P7"/>
    <hyperlink display="I" location="'Gr-I'!A1" ref="M8"/>
    <hyperlink display="K" location="'Gr-K'!A1" ref="O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181</v>
      </c>
      <c r="B5" s="23" t="str">
        <f>Q5</f>
        <v>Portugal</v>
      </c>
      <c r="C5" s="24"/>
      <c r="D5" s="40">
        <v>1.0</v>
      </c>
      <c r="E5" s="26" t="s">
        <v>39</v>
      </c>
      <c r="F5" s="40">
        <v>1.0</v>
      </c>
      <c r="G5" s="24"/>
      <c r="H5" s="27" t="str">
        <f>Q6</f>
        <v>RD Congo</v>
      </c>
      <c r="I5" s="28" t="s">
        <v>117</v>
      </c>
      <c r="J5" s="20"/>
      <c r="K5" s="21"/>
      <c r="M5" s="29" t="s">
        <v>41</v>
      </c>
      <c r="N5" s="30"/>
      <c r="O5" s="30"/>
      <c r="P5" s="31"/>
      <c r="Q5" s="16" t="s">
        <v>182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183</v>
      </c>
      <c r="B6" s="33" t="str">
        <f>Q7</f>
        <v>Uzbequistão</v>
      </c>
      <c r="C6" s="34"/>
      <c r="D6" s="40">
        <v>1.0</v>
      </c>
      <c r="E6" s="35" t="s">
        <v>39</v>
      </c>
      <c r="F6" s="40">
        <v>3.0</v>
      </c>
      <c r="G6" s="34"/>
      <c r="H6" s="36" t="str">
        <f>Q8</f>
        <v>Colômbia</v>
      </c>
      <c r="I6" s="37" t="s">
        <v>40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184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185</v>
      </c>
      <c r="B7" s="23" t="str">
        <f>Q5</f>
        <v>Portugal</v>
      </c>
      <c r="C7" s="24"/>
      <c r="D7" s="25"/>
      <c r="E7" s="26" t="s">
        <v>39</v>
      </c>
      <c r="F7" s="25"/>
      <c r="G7" s="24"/>
      <c r="H7" s="27" t="str">
        <f>Q7</f>
        <v>Uzbequistão</v>
      </c>
      <c r="I7" s="28" t="s">
        <v>117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186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187</v>
      </c>
      <c r="B8" s="33" t="str">
        <f>Q8</f>
        <v>Colômbia</v>
      </c>
      <c r="C8" s="34"/>
      <c r="D8" s="25"/>
      <c r="E8" s="35" t="s">
        <v>39</v>
      </c>
      <c r="F8" s="25"/>
      <c r="G8" s="34"/>
      <c r="H8" s="36" t="str">
        <f>Q6</f>
        <v>RD Congo</v>
      </c>
      <c r="I8" s="37" t="s">
        <v>44</v>
      </c>
      <c r="J8" s="20"/>
      <c r="K8" s="21"/>
      <c r="M8" s="39" t="s">
        <v>58</v>
      </c>
      <c r="N8" s="39" t="s">
        <v>59</v>
      </c>
      <c r="O8" s="38" t="s">
        <v>60</v>
      </c>
      <c r="P8" s="39" t="s">
        <v>61</v>
      </c>
      <c r="Q8" s="16" t="s">
        <v>188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189</v>
      </c>
      <c r="B9" s="23" t="str">
        <f>Q8</f>
        <v>Colômbia</v>
      </c>
      <c r="C9" s="24"/>
      <c r="D9" s="25"/>
      <c r="E9" s="26" t="s">
        <v>39</v>
      </c>
      <c r="F9" s="25"/>
      <c r="G9" s="24"/>
      <c r="H9" s="27" t="str">
        <f>Q5</f>
        <v>Portugal</v>
      </c>
      <c r="I9" s="28" t="s">
        <v>102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189</v>
      </c>
      <c r="B10" s="33" t="str">
        <f>Q6</f>
        <v>RD Congo</v>
      </c>
      <c r="C10" s="34"/>
      <c r="D10" s="25"/>
      <c r="E10" s="35" t="s">
        <v>39</v>
      </c>
      <c r="F10" s="25"/>
      <c r="G10" s="34"/>
      <c r="H10" s="36" t="str">
        <f>Q7</f>
        <v>Uzbequistão</v>
      </c>
      <c r="I10" s="37" t="s">
        <v>51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Colômbia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1</v>
      </c>
      <c r="J14" s="44">
        <f t="array" ref="J14">INDEX(S$14:S$17,MATCH(1,AA$14:AA$17,0))</f>
        <v>1</v>
      </c>
      <c r="K14" s="44">
        <f t="array" ref="K14">INDEX(T$14:T$17,MATCH(1,AA$14:AA$17,0))</f>
        <v>0</v>
      </c>
      <c r="L14" s="44">
        <f t="array" ref="L14">INDEX(U$14:U$17,MATCH(1,AA$14:AA$17,0))</f>
        <v>0</v>
      </c>
      <c r="M14" s="45">
        <f t="array" ref="M14">INDEX(V$14:V$17,MATCH(1,AA$14:AA$17,0))</f>
        <v>3</v>
      </c>
      <c r="N14" s="45">
        <f t="array" ref="N14">INDEX(W$14:W$17,MATCH(1,AA$14:AA$17,0))</f>
        <v>1</v>
      </c>
      <c r="O14" s="45">
        <f t="array" ref="O14">INDEX(X$14:X$17,MATCH(1,AA$14:AA$17,0))</f>
        <v>2</v>
      </c>
      <c r="P14" s="46">
        <f t="array" ref="P14">INDEX(Y$14:Y$17,MATCH(1,AA$14:AA$17,0))</f>
        <v>3</v>
      </c>
      <c r="Q14" s="16" t="str">
        <f t="shared" ref="Q14:Q17" si="1">Q5</f>
        <v>Portugal</v>
      </c>
      <c r="R14" s="16">
        <f>((D5&lt;&gt;"")*( F5&lt;&gt;""))+((D7&lt;&gt;"")*( F7&lt;&gt;""))+((D9&lt;&gt;"")*( F9&lt;&gt;""))</f>
        <v>1</v>
      </c>
      <c r="S14" s="16">
        <f>IF(AND(D5&lt;&gt;"",F5&lt;&gt;""),IF(D5&gt;F5,1,0),0)+IF(AND(D7&lt;&gt;"",F7&lt;&gt;""),IF(D7&gt;F7,1,0),0)+IF(AND(D9&lt;&gt;"",F9&lt;&gt;""),IF(F9&gt;D9,1,0),0)</f>
        <v>0</v>
      </c>
      <c r="T14" s="16">
        <f>IF(AND(D5&lt;&gt;"",F5&lt;&gt;""),IF(D5=F5,1,0),0)+IF(AND(D7&lt;&gt;"",F7&lt;&gt;""),IF(D7=F7,1,0),0)+IF(AND(D9&lt;&gt;"",F9&lt;&gt;""),IF(D9=F9,1,0),0)</f>
        <v>1</v>
      </c>
      <c r="U14" s="16">
        <f>IF(AND(D5&lt;&gt;"",F5&lt;&gt;""),IF(D5&lt;F5,1,0),0)+IF(AND(D7&lt;&gt;"",F7&lt;&gt;""),IF(D7&lt;F7,1,0),0)+IF(AND(D9&lt;&gt;"",F9&lt;&gt;""),IF(F9&lt;D9,1,0),0)</f>
        <v>0</v>
      </c>
      <c r="V14" s="47">
        <f>IF(D5="",0,D5)+IF(D7="",0,D7)+IF(F9="",0,F9)</f>
        <v>1</v>
      </c>
      <c r="W14" s="47">
        <f>IF(F5="",0,F5)+IF(F7="",0,F7)+IF(D9="",0,D9)</f>
        <v>1</v>
      </c>
      <c r="X14" s="47">
        <f t="shared" ref="X14:X17" si="2">V14-W14</f>
        <v>0</v>
      </c>
      <c r="Y14" s="16">
        <f t="shared" ref="Y14:Y17" si="3">S14*3+T14</f>
        <v>1</v>
      </c>
      <c r="Z14" s="16">
        <f>Y14*1000000+(X14+100)*10000+V14*100+4</f>
        <v>2000104</v>
      </c>
      <c r="AA14" s="16">
        <f t="shared" ref="AA14:AA17" si="4">RANK(Z14,Z$14:Z$17,0)</f>
        <v>2</v>
      </c>
    </row>
    <row r="15" ht="21.75" customHeight="1">
      <c r="A15" s="42">
        <v>2.0</v>
      </c>
      <c r="B15" s="27" t="str">
        <f t="array" ref="B15">INDEX(Q$14:Q$17,MATCH(2,AA$14:AA$17,0))</f>
        <v>Portugal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1</v>
      </c>
      <c r="J15" s="44">
        <f t="array" ref="J15">INDEX(S$14:S$17,MATCH(2,AA$14:AA$17,0))</f>
        <v>0</v>
      </c>
      <c r="K15" s="44">
        <f t="array" ref="K15">INDEX(T$14:T$17,MATCH(2,AA$14:AA$17,0))</f>
        <v>1</v>
      </c>
      <c r="L15" s="44">
        <f t="array" ref="L15">INDEX(U$14:U$17,MATCH(2,AA$14:AA$17,0))</f>
        <v>0</v>
      </c>
      <c r="M15" s="45">
        <f t="array" ref="M15">INDEX(V$14:V$17,MATCH(2,AA$14:AA$17,0))</f>
        <v>1</v>
      </c>
      <c r="N15" s="45">
        <f t="array" ref="N15">INDEX(W$14:W$17,MATCH(2,AA$14:AA$17,0))</f>
        <v>1</v>
      </c>
      <c r="O15" s="45">
        <f t="array" ref="O15">INDEX(X$14:X$17,MATCH(2,AA$14:AA$17,0))</f>
        <v>0</v>
      </c>
      <c r="P15" s="46">
        <f t="array" ref="P15">INDEX(Y$14:Y$17,MATCH(2,AA$14:AA$17,0))</f>
        <v>1</v>
      </c>
      <c r="Q15" s="16" t="str">
        <f t="shared" si="1"/>
        <v>RD Congo</v>
      </c>
      <c r="R15" s="16">
        <f>((D5&lt;&gt;"")*( F5&lt;&gt;""))+((D8&lt;&gt;"")*( F8&lt;&gt;""))+((D10&lt;&gt;"")*( F10&lt;&gt;""))</f>
        <v>1</v>
      </c>
      <c r="S15" s="16">
        <f>IF(AND(D5&lt;&gt;"",F5&lt;&gt;""),IF(F5&gt;D5,1,0),0)+IF(AND(D8&lt;&gt;"",F8&lt;&gt;""),IF(F8&gt;D8,1,0),0)+IF(AND(D10&lt;&gt;"",F10&lt;&gt;""),IF(D10&gt;F10,1,0),0)</f>
        <v>0</v>
      </c>
      <c r="T15" s="16">
        <f>IF(AND(D5&lt;&gt;"",F5&lt;&gt;""),IF(D5=F5,1,0),0)+IF(AND(D8&lt;&gt;"",F8&lt;&gt;""),IF(D8=F8,1,0),0)+IF(AND(D10&lt;&gt;"",F10&lt;&gt;""),IF(D10=F10,1,0),0)</f>
        <v>1</v>
      </c>
      <c r="U15" s="16">
        <f>IF(AND(D5&lt;&gt;"",F5&lt;&gt;""),IF(F5&lt;D5,1,0),0)+IF(AND(D8&lt;&gt;"",F8&lt;&gt;""),IF(F8&lt;D8,1,0),0)+IF(AND(D10&lt;&gt;"",F10&lt;&gt;""),IF(D10&lt;F10,1,0),0)</f>
        <v>0</v>
      </c>
      <c r="V15" s="47">
        <f>IF(F5="",0,F5)+IF(F8="",0,F8)+IF(D10="",0,D10)</f>
        <v>1</v>
      </c>
      <c r="W15" s="47">
        <f>IF(D5="",0,D5)+IF(D8="",0,D8)+IF(F10="",0,F10)</f>
        <v>1</v>
      </c>
      <c r="X15" s="47">
        <f t="shared" si="2"/>
        <v>0</v>
      </c>
      <c r="Y15" s="16">
        <f t="shared" si="3"/>
        <v>1</v>
      </c>
      <c r="Z15" s="16">
        <f>Y15*1000000+(X15+100)*10000+V15*100+3</f>
        <v>2000103</v>
      </c>
      <c r="AA15" s="16">
        <f t="shared" si="4"/>
        <v>3</v>
      </c>
    </row>
    <row r="16" ht="21.75" customHeight="1">
      <c r="A16" s="48">
        <v>3.0</v>
      </c>
      <c r="B16" s="27" t="str">
        <f t="array" ref="B16">INDEX(Q$14:Q$17,MATCH(3,AA$14:AA$17,0))</f>
        <v>RD Congo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1</v>
      </c>
      <c r="J16" s="44">
        <f t="array" ref="J16">INDEX(S$14:S$17,MATCH(3,AA$14:AA$17,0))</f>
        <v>0</v>
      </c>
      <c r="K16" s="44">
        <f t="array" ref="K16">INDEX(T$14:T$17,MATCH(3,AA$14:AA$17,0))</f>
        <v>1</v>
      </c>
      <c r="L16" s="44">
        <f t="array" ref="L16">INDEX(U$14:U$17,MATCH(3,AA$14:AA$17,0))</f>
        <v>0</v>
      </c>
      <c r="M16" s="45">
        <f t="array" ref="M16">INDEX(V$14:V$17,MATCH(3,AA$14:AA$17,0))</f>
        <v>1</v>
      </c>
      <c r="N16" s="45">
        <f t="array" ref="N16">INDEX(W$14:W$17,MATCH(3,AA$14:AA$17,0))</f>
        <v>1</v>
      </c>
      <c r="O16" s="45">
        <f t="array" ref="O16">INDEX(X$14:X$17,MATCH(3,AA$14:AA$17,0))</f>
        <v>0</v>
      </c>
      <c r="P16" s="49">
        <f t="array" ref="P16">INDEX(Y$14:Y$17,MATCH(3,AA$14:AA$17,0))</f>
        <v>1</v>
      </c>
      <c r="Q16" s="16" t="str">
        <f t="shared" si="1"/>
        <v>Uzbequistão</v>
      </c>
      <c r="R16" s="16">
        <f>((D6&lt;&gt;"")*( F6&lt;&gt;""))+((D7&lt;&gt;"")*( F7&lt;&gt;""))+((D10&lt;&gt;"")*( F10&lt;&gt;""))</f>
        <v>1</v>
      </c>
      <c r="S16" s="16">
        <f>IF(AND(D6&lt;&gt;"",F6&lt;&gt;""),IF(D6&gt;F6,1,0),0)+IF(AND(D7&lt;&gt;"",F7&lt;&gt;""),IF(F7&gt;D7,1,0),0)+IF(AND(D10&lt;&gt;"",F10&lt;&gt;""),IF(F10&gt;D10,1,0),0)</f>
        <v>0</v>
      </c>
      <c r="T16" s="16">
        <f>IF(AND(D6&lt;&gt;"",F6&lt;&gt;""),IF(D6=F6,1,0),0)+IF(AND(D7&lt;&gt;"",F7&lt;&gt;""),IF(D7=F7,1,0),0)+IF(AND(D10&lt;&gt;"",F10&lt;&gt;""),IF(D10=F10,1,0),0)</f>
        <v>0</v>
      </c>
      <c r="U16" s="16">
        <f>IF(AND(D6&lt;&gt;"",F6&lt;&gt;""),IF(D6&lt;F6,1,0),0)+IF(AND(D7&lt;&gt;"",F7&lt;&gt;""),IF(F7&lt;D7,1,0),0)+IF(AND(D10&lt;&gt;"",F10&lt;&gt;""),IF(F10&lt;D10,1,0),0)</f>
        <v>1</v>
      </c>
      <c r="V16" s="47">
        <f>IF(D6="",0,D6)+IF(F7="",0,F7)+IF(F10="",0,F10)</f>
        <v>1</v>
      </c>
      <c r="W16" s="47">
        <f>IF(F6="",0,F6)+IF(D7="",0,D7)+IF(D10="",0,D10)</f>
        <v>3</v>
      </c>
      <c r="X16" s="47">
        <f t="shared" si="2"/>
        <v>-2</v>
      </c>
      <c r="Y16" s="16">
        <f t="shared" si="3"/>
        <v>0</v>
      </c>
      <c r="Z16" s="16">
        <f>Y16*1000000+(X16+100)*10000+V16*100+2</f>
        <v>980102</v>
      </c>
      <c r="AA16" s="16">
        <f t="shared" si="4"/>
        <v>4</v>
      </c>
    </row>
    <row r="17" ht="21.75" customHeight="1">
      <c r="A17" s="50">
        <v>4.0</v>
      </c>
      <c r="B17" s="27" t="str">
        <f t="array" ref="B17">INDEX(Q$14:Q$17,MATCH(4,AA$14:AA$17,0))</f>
        <v>Uzbequistão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1</v>
      </c>
      <c r="J17" s="44">
        <f t="array" ref="J17">INDEX(S$14:S$17,MATCH(4,AA$14:AA$17,0))</f>
        <v>0</v>
      </c>
      <c r="K17" s="44">
        <f t="array" ref="K17">INDEX(T$14:T$17,MATCH(4,AA$14:AA$17,0))</f>
        <v>0</v>
      </c>
      <c r="L17" s="44">
        <f t="array" ref="L17">INDEX(U$14:U$17,MATCH(4,AA$14:AA$17,0))</f>
        <v>1</v>
      </c>
      <c r="M17" s="45">
        <f t="array" ref="M17">INDEX(V$14:V$17,MATCH(4,AA$14:AA$17,0))</f>
        <v>1</v>
      </c>
      <c r="N17" s="45">
        <f t="array" ref="N17">INDEX(W$14:W$17,MATCH(4,AA$14:AA$17,0))</f>
        <v>3</v>
      </c>
      <c r="O17" s="45">
        <f t="array" ref="O17">INDEX(X$14:X$17,MATCH(4,AA$14:AA$17,0))</f>
        <v>-2</v>
      </c>
      <c r="P17" s="51">
        <f t="array" ref="P17">INDEX(Y$14:Y$17,MATCH(4,AA$14:AA$17,0))</f>
        <v>0</v>
      </c>
      <c r="Q17" s="16" t="str">
        <f t="shared" si="1"/>
        <v>Colômbia</v>
      </c>
      <c r="R17" s="16">
        <f>((D6&lt;&gt;"")*( F6&lt;&gt;""))+((D8&lt;&gt;"")*( F8&lt;&gt;""))+((D9&lt;&gt;"")*( F9&lt;&gt;""))</f>
        <v>1</v>
      </c>
      <c r="S17" s="16">
        <f>IF(AND(D6&lt;&gt;"",F6&lt;&gt;""),IF(F6&gt;D6,1,0),0)+IF(AND(D8&lt;&gt;"",F8&lt;&gt;""),IF(D8&gt;F8,1,0),0)+IF(AND(D9&lt;&gt;"",F9&lt;&gt;""),IF(D9&gt;F9,1,0),0)</f>
        <v>1</v>
      </c>
      <c r="T17" s="16">
        <f>IF(AND(D6&lt;&gt;"",F6&lt;&gt;""),IF(D6=F6,1,0),0)+IF(AND(D8&lt;&gt;"",F8&lt;&gt;""),IF(D8=F8,1,0),0)+IF(AND(D9&lt;&gt;"",F9&lt;&gt;""),IF(D9=F9,1,0),0)</f>
        <v>0</v>
      </c>
      <c r="U17" s="16">
        <f>IF(AND(D6&lt;&gt;"",F6&lt;&gt;""),IF(F6&lt;D6,1,0),0)+IF(AND(D8&lt;&gt;"",F8&lt;&gt;""),IF(D8&lt;F8,1,0),0)+IF(AND(D9&lt;&gt;"",F9&lt;&gt;""),IF(D9&lt;F9,1,0),0)</f>
        <v>0</v>
      </c>
      <c r="V17" s="47">
        <f>IF(F6="",0,F6)+IF(D8="",0,D8)+IF(D9="",0,D9)</f>
        <v>3</v>
      </c>
      <c r="W17" s="47">
        <f>IF(D6="",0,D6)+IF(F8="",0,F8)+IF(F9="",0,F9)</f>
        <v>1</v>
      </c>
      <c r="X17" s="47">
        <f t="shared" si="2"/>
        <v>2</v>
      </c>
      <c r="Y17" s="16">
        <f t="shared" si="3"/>
        <v>3</v>
      </c>
      <c r="Z17" s="16">
        <f>Y17*1000000+(X17+100)*10000+V17*100+1</f>
        <v>4020301</v>
      </c>
      <c r="AA17" s="16">
        <f t="shared" si="4"/>
        <v>1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E" location="'Gr-E'!A1" ref="M7"/>
    <hyperlink display="F" location="'Gr-F'!A1" ref="N7"/>
    <hyperlink display="G" location="'Gr-G'!A1" ref="O7"/>
    <hyperlink display="H" location="'Gr-H'!A1" ref="P7"/>
    <hyperlink display="I" location="'Gr-I'!A1" ref="M8"/>
    <hyperlink display="J" location="'Gr-J'!A1" ref="N8"/>
    <hyperlink display="L" location="'Gr-L'!A1" ref="P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.0"/>
    <col customWidth="1" min="4" max="4" width="6.0"/>
    <col customWidth="1" min="5" max="5" width="3.0"/>
    <col customWidth="1" min="6" max="6" width="6.0"/>
    <col customWidth="1" min="7" max="7" width="3.0"/>
    <col customWidth="1" min="8" max="8" width="22.0"/>
    <col customWidth="1" min="9" max="12" width="4.0"/>
    <col customWidth="1" min="13" max="16" width="5.0"/>
    <col customWidth="1" hidden="1" min="17" max="27" width="12.0"/>
  </cols>
  <sheetData>
    <row r="1" ht="31.5" customHeight="1">
      <c r="A1" s="14" t="s">
        <v>190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6.0" customHeight="1"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9.5" customHeight="1">
      <c r="A3" s="17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8.0" customHeight="1">
      <c r="A4" s="18" t="s">
        <v>32</v>
      </c>
      <c r="B4" s="18" t="s">
        <v>33</v>
      </c>
      <c r="D4" s="18" t="s">
        <v>34</v>
      </c>
      <c r="F4" s="18" t="s">
        <v>35</v>
      </c>
      <c r="H4" s="18" t="s">
        <v>36</v>
      </c>
      <c r="I4" s="19" t="s">
        <v>37</v>
      </c>
      <c r="J4" s="20"/>
      <c r="K4" s="2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75" customHeight="1">
      <c r="A5" s="53" t="s">
        <v>191</v>
      </c>
      <c r="B5" s="23" t="str">
        <f>Q5</f>
        <v>Inglaterra</v>
      </c>
      <c r="C5" s="24"/>
      <c r="D5" s="40">
        <v>4.0</v>
      </c>
      <c r="E5" s="26" t="s">
        <v>39</v>
      </c>
      <c r="F5" s="40">
        <v>2.0</v>
      </c>
      <c r="G5" s="24"/>
      <c r="H5" s="27" t="str">
        <f>Q6</f>
        <v>Croácia</v>
      </c>
      <c r="I5" s="28" t="s">
        <v>130</v>
      </c>
      <c r="J5" s="20"/>
      <c r="K5" s="21"/>
      <c r="M5" s="55" t="s">
        <v>41</v>
      </c>
      <c r="N5" s="30"/>
      <c r="O5" s="30"/>
      <c r="P5" s="31"/>
      <c r="Q5" s="16" t="s">
        <v>192</v>
      </c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75" customHeight="1">
      <c r="A6" s="54" t="s">
        <v>193</v>
      </c>
      <c r="B6" s="33" t="str">
        <f>Q7</f>
        <v>Gana</v>
      </c>
      <c r="C6" s="34"/>
      <c r="D6" s="40">
        <v>1.0</v>
      </c>
      <c r="E6" s="35" t="s">
        <v>39</v>
      </c>
      <c r="F6" s="40">
        <v>0.0</v>
      </c>
      <c r="G6" s="34"/>
      <c r="H6" s="36" t="str">
        <f>Q8</f>
        <v>Panamá</v>
      </c>
      <c r="I6" s="37" t="s">
        <v>76</v>
      </c>
      <c r="J6" s="20"/>
      <c r="K6" s="21"/>
      <c r="M6" s="39" t="s">
        <v>45</v>
      </c>
      <c r="N6" s="39" t="s">
        <v>46</v>
      </c>
      <c r="O6" s="39" t="s">
        <v>47</v>
      </c>
      <c r="P6" s="39" t="s">
        <v>48</v>
      </c>
      <c r="Q6" s="16" t="s">
        <v>194</v>
      </c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75" customHeight="1">
      <c r="A7" s="53" t="s">
        <v>195</v>
      </c>
      <c r="B7" s="23" t="str">
        <f>Q5</f>
        <v>Inglaterra</v>
      </c>
      <c r="C7" s="24"/>
      <c r="D7" s="25"/>
      <c r="E7" s="26" t="s">
        <v>39</v>
      </c>
      <c r="F7" s="25"/>
      <c r="G7" s="24"/>
      <c r="H7" s="27" t="str">
        <f>Q7</f>
        <v>Gana</v>
      </c>
      <c r="I7" s="28" t="s">
        <v>94</v>
      </c>
      <c r="J7" s="20"/>
      <c r="K7" s="21"/>
      <c r="M7" s="39" t="s">
        <v>52</v>
      </c>
      <c r="N7" s="39" t="s">
        <v>53</v>
      </c>
      <c r="O7" s="39" t="s">
        <v>54</v>
      </c>
      <c r="P7" s="39" t="s">
        <v>55</v>
      </c>
      <c r="Q7" s="16" t="s">
        <v>196</v>
      </c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1.75" customHeight="1">
      <c r="A8" s="54" t="s">
        <v>197</v>
      </c>
      <c r="B8" s="33" t="str">
        <f>Q8</f>
        <v>Panamá</v>
      </c>
      <c r="C8" s="34"/>
      <c r="D8" s="25"/>
      <c r="E8" s="35" t="s">
        <v>39</v>
      </c>
      <c r="F8" s="25"/>
      <c r="G8" s="34"/>
      <c r="H8" s="36" t="str">
        <f t="shared" ref="H8:H9" si="1">Q6</f>
        <v>Croácia</v>
      </c>
      <c r="I8" s="37" t="s">
        <v>122</v>
      </c>
      <c r="J8" s="20"/>
      <c r="K8" s="21"/>
      <c r="M8" s="39" t="s">
        <v>58</v>
      </c>
      <c r="N8" s="39" t="s">
        <v>59</v>
      </c>
      <c r="O8" s="39" t="s">
        <v>60</v>
      </c>
      <c r="P8" s="38" t="s">
        <v>61</v>
      </c>
      <c r="Q8" s="16" t="s">
        <v>198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1.75" customHeight="1">
      <c r="A9" s="53" t="s">
        <v>199</v>
      </c>
      <c r="B9" s="23" t="str">
        <f>Q6</f>
        <v>Croácia</v>
      </c>
      <c r="C9" s="24"/>
      <c r="D9" s="25"/>
      <c r="E9" s="26" t="s">
        <v>39</v>
      </c>
      <c r="F9" s="25"/>
      <c r="G9" s="24"/>
      <c r="H9" s="27" t="str">
        <f t="shared" si="1"/>
        <v>Gana</v>
      </c>
      <c r="I9" s="28" t="s">
        <v>99</v>
      </c>
      <c r="J9" s="20"/>
      <c r="K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1.75" customHeight="1">
      <c r="A10" s="54" t="s">
        <v>199</v>
      </c>
      <c r="B10" s="33" t="str">
        <f>Q8</f>
        <v>Panamá</v>
      </c>
      <c r="C10" s="34"/>
      <c r="D10" s="25"/>
      <c r="E10" s="35" t="s">
        <v>39</v>
      </c>
      <c r="F10" s="25"/>
      <c r="G10" s="34"/>
      <c r="H10" s="36" t="str">
        <f>Q5</f>
        <v>Inglaterra</v>
      </c>
      <c r="I10" s="37" t="s">
        <v>91</v>
      </c>
      <c r="J10" s="20"/>
      <c r="K10" s="21"/>
      <c r="M10" s="41" t="s">
        <v>2</v>
      </c>
      <c r="N10" s="15"/>
      <c r="O10" s="15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7.5" customHeight="1"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9.5" customHeight="1">
      <c r="A12" s="17" t="s">
        <v>65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8.0" customHeight="1">
      <c r="A13" s="18" t="s">
        <v>66</v>
      </c>
      <c r="B13" s="18" t="s">
        <v>67</v>
      </c>
      <c r="C13" s="18"/>
      <c r="D13" s="18"/>
      <c r="E13" s="18"/>
      <c r="F13" s="18"/>
      <c r="G13" s="18"/>
      <c r="H13" s="18"/>
      <c r="I13" s="18" t="s">
        <v>59</v>
      </c>
      <c r="J13" s="18" t="s">
        <v>68</v>
      </c>
      <c r="K13" s="18" t="s">
        <v>52</v>
      </c>
      <c r="L13" s="18" t="s">
        <v>48</v>
      </c>
      <c r="M13" s="18" t="s">
        <v>69</v>
      </c>
      <c r="N13" s="18" t="s">
        <v>70</v>
      </c>
      <c r="O13" s="18" t="s">
        <v>71</v>
      </c>
      <c r="P13" s="18" t="s">
        <v>72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1.75" customHeight="1">
      <c r="A14" s="42">
        <v>1.0</v>
      </c>
      <c r="B14" s="27" t="str">
        <f t="array" ref="B14">INDEX(Q$14:Q$17,MATCH(1,AA$14:AA$17,0))</f>
        <v>Inglaterra</v>
      </c>
      <c r="C14" s="43"/>
      <c r="D14" s="43"/>
      <c r="E14" s="43"/>
      <c r="F14" s="43"/>
      <c r="G14" s="43"/>
      <c r="H14" s="43"/>
      <c r="I14" s="44">
        <f t="array" ref="I14">INDEX(R$14:R$17,MATCH(1,AA$14:AA$17,0))</f>
        <v>1</v>
      </c>
      <c r="J14" s="44">
        <f t="array" ref="J14">INDEX(S$14:S$17,MATCH(1,AA$14:AA$17,0))</f>
        <v>1</v>
      </c>
      <c r="K14" s="44">
        <f t="array" ref="K14">INDEX(T$14:T$17,MATCH(1,AA$14:AA$17,0))</f>
        <v>0</v>
      </c>
      <c r="L14" s="44">
        <f t="array" ref="L14">INDEX(U$14:U$17,MATCH(1,AA$14:AA$17,0))</f>
        <v>0</v>
      </c>
      <c r="M14" s="45">
        <f t="array" ref="M14">INDEX(V$14:V$17,MATCH(1,AA$14:AA$17,0))</f>
        <v>4</v>
      </c>
      <c r="N14" s="45">
        <f t="array" ref="N14">INDEX(W$14:W$17,MATCH(1,AA$14:AA$17,0))</f>
        <v>2</v>
      </c>
      <c r="O14" s="45">
        <f t="array" ref="O14">INDEX(X$14:X$17,MATCH(1,AA$14:AA$17,0))</f>
        <v>2</v>
      </c>
      <c r="P14" s="46">
        <f t="array" ref="P14">INDEX(Y$14:Y$17,MATCH(1,AA$14:AA$17,0))</f>
        <v>3</v>
      </c>
      <c r="Q14" s="16" t="str">
        <f t="shared" ref="Q14:Q17" si="2">Q5</f>
        <v>Inglaterra</v>
      </c>
      <c r="R14" s="16">
        <f>((D5&lt;&gt;"")*( F5&lt;&gt;""))+((D7&lt;&gt;"")*( F7&lt;&gt;""))+((D10&lt;&gt;"")*( F10&lt;&gt;""))</f>
        <v>1</v>
      </c>
      <c r="S14" s="16">
        <f>IF(AND(D5&lt;&gt;"",F5&lt;&gt;""),IF(D5&gt;F5,1,0),0)+IF(AND(D7&lt;&gt;"",F7&lt;&gt;""),IF(D7&gt;F7,1,0),0)+IF(AND(D10&lt;&gt;"",F10&lt;&gt;""),IF(F10&gt;D10,1,0),0)</f>
        <v>1</v>
      </c>
      <c r="T14" s="16">
        <f>IF(AND(D5&lt;&gt;"",F5&lt;&gt;""),IF(D5=F5,1,0),0)+IF(AND(D7&lt;&gt;"",F7&lt;&gt;""),IF(D7=F7,1,0),0)+IF(AND(D10&lt;&gt;"",F10&lt;&gt;""),IF(D10=F10,1,0),0)</f>
        <v>0</v>
      </c>
      <c r="U14" s="16">
        <f>IF(AND(D5&lt;&gt;"",F5&lt;&gt;""),IF(D5&lt;F5,1,0),0)+IF(AND(D7&lt;&gt;"",F7&lt;&gt;""),IF(D7&lt;F7,1,0),0)+IF(AND(D10&lt;&gt;"",F10&lt;&gt;""),IF(F10&lt;D10,1,0),0)</f>
        <v>0</v>
      </c>
      <c r="V14" s="47">
        <f>IF(D5="",0,D5)+IF(D7="",0,D7)+IF(F10="",0,F10)</f>
        <v>4</v>
      </c>
      <c r="W14" s="47">
        <f>IF(F5="",0,F5)+IF(F7="",0,F7)+IF(D10="",0,D10)</f>
        <v>2</v>
      </c>
      <c r="X14" s="47">
        <f t="shared" ref="X14:X17" si="3">V14-W14</f>
        <v>2</v>
      </c>
      <c r="Y14" s="16">
        <f t="shared" ref="Y14:Y17" si="4">S14*3+T14</f>
        <v>3</v>
      </c>
      <c r="Z14" s="16">
        <f>Y14*1000000+(X14+100)*10000+V14*100+4</f>
        <v>4020404</v>
      </c>
      <c r="AA14" s="16">
        <f t="shared" ref="AA14:AA17" si="5">RANK(Z14,Z$14:Z$17,0)</f>
        <v>1</v>
      </c>
    </row>
    <row r="15" ht="21.75" customHeight="1">
      <c r="A15" s="42">
        <v>2.0</v>
      </c>
      <c r="B15" s="27" t="str">
        <f t="array" ref="B15">INDEX(Q$14:Q$17,MATCH(2,AA$14:AA$17,0))</f>
        <v>Gana</v>
      </c>
      <c r="C15" s="43"/>
      <c r="D15" s="43"/>
      <c r="E15" s="43"/>
      <c r="F15" s="43"/>
      <c r="G15" s="43"/>
      <c r="H15" s="43"/>
      <c r="I15" s="44">
        <f t="array" ref="I15">INDEX(R$14:R$17,MATCH(2,AA$14:AA$17,0))</f>
        <v>1</v>
      </c>
      <c r="J15" s="44">
        <f t="array" ref="J15">INDEX(S$14:S$17,MATCH(2,AA$14:AA$17,0))</f>
        <v>1</v>
      </c>
      <c r="K15" s="44">
        <f t="array" ref="K15">INDEX(T$14:T$17,MATCH(2,AA$14:AA$17,0))</f>
        <v>0</v>
      </c>
      <c r="L15" s="44">
        <f t="array" ref="L15">INDEX(U$14:U$17,MATCH(2,AA$14:AA$17,0))</f>
        <v>0</v>
      </c>
      <c r="M15" s="45">
        <f t="array" ref="M15">INDEX(V$14:V$17,MATCH(2,AA$14:AA$17,0))</f>
        <v>1</v>
      </c>
      <c r="N15" s="45">
        <f t="array" ref="N15">INDEX(W$14:W$17,MATCH(2,AA$14:AA$17,0))</f>
        <v>0</v>
      </c>
      <c r="O15" s="45">
        <f t="array" ref="O15">INDEX(X$14:X$17,MATCH(2,AA$14:AA$17,0))</f>
        <v>1</v>
      </c>
      <c r="P15" s="46">
        <f t="array" ref="P15">INDEX(Y$14:Y$17,MATCH(2,AA$14:AA$17,0))</f>
        <v>3</v>
      </c>
      <c r="Q15" s="16" t="str">
        <f t="shared" si="2"/>
        <v>Croácia</v>
      </c>
      <c r="R15" s="16">
        <f>((D5&lt;&gt;"")*( F5&lt;&gt;""))+((D8&lt;&gt;"")*( F8&lt;&gt;""))+((D9&lt;&gt;"")*( F9&lt;&gt;""))</f>
        <v>1</v>
      </c>
      <c r="S15" s="16">
        <f>IF(AND(D5&lt;&gt;"",F5&lt;&gt;""),IF(F5&gt;D5,1,0),0)+IF(AND(D8&lt;&gt;"",F8&lt;&gt;""),IF(F8&gt;D8,1,0),0)+IF(AND(D9&lt;&gt;"",F9&lt;&gt;""),IF(D9&gt;F9,1,0),0)</f>
        <v>0</v>
      </c>
      <c r="T15" s="16">
        <f>IF(AND(D5&lt;&gt;"",F5&lt;&gt;""),IF(D5=F5,1,0),0)+IF(AND(D8&lt;&gt;"",F8&lt;&gt;""),IF(D8=F8,1,0),0)+IF(AND(D9&lt;&gt;"",F9&lt;&gt;""),IF(D9=F9,1,0),0)</f>
        <v>0</v>
      </c>
      <c r="U15" s="16">
        <f>IF(AND(D5&lt;&gt;"",F5&lt;&gt;""),IF(F5&lt;D5,1,0),0)+IF(AND(D8&lt;&gt;"",F8&lt;&gt;""),IF(F8&lt;D8,1,0),0)+IF(AND(D9&lt;&gt;"",F9&lt;&gt;""),IF(D9&lt;F9,1,0),0)</f>
        <v>1</v>
      </c>
      <c r="V15" s="47">
        <f>IF(F5="",0,F5)+IF(F8="",0,F8)+IF(D9="",0,D9)</f>
        <v>2</v>
      </c>
      <c r="W15" s="47">
        <f>IF(D5="",0,D5)+IF(D8="",0,D8)+IF(F9="",0,F9)</f>
        <v>4</v>
      </c>
      <c r="X15" s="47">
        <f t="shared" si="3"/>
        <v>-2</v>
      </c>
      <c r="Y15" s="16">
        <f t="shared" si="4"/>
        <v>0</v>
      </c>
      <c r="Z15" s="16">
        <f>Y15*1000000+(X15+100)*10000+V15*100+3</f>
        <v>980203</v>
      </c>
      <c r="AA15" s="16">
        <f t="shared" si="5"/>
        <v>4</v>
      </c>
    </row>
    <row r="16" ht="21.75" customHeight="1">
      <c r="A16" s="48">
        <v>3.0</v>
      </c>
      <c r="B16" s="27" t="str">
        <f t="array" ref="B16">INDEX(Q$14:Q$17,MATCH(3,AA$14:AA$17,0))</f>
        <v>Panamá</v>
      </c>
      <c r="C16" s="43"/>
      <c r="D16" s="43"/>
      <c r="E16" s="43"/>
      <c r="F16" s="43"/>
      <c r="G16" s="43"/>
      <c r="H16" s="43"/>
      <c r="I16" s="44">
        <f t="array" ref="I16">INDEX(R$14:R$17,MATCH(3,AA$14:AA$17,0))</f>
        <v>1</v>
      </c>
      <c r="J16" s="44">
        <f t="array" ref="J16">INDEX(S$14:S$17,MATCH(3,AA$14:AA$17,0))</f>
        <v>0</v>
      </c>
      <c r="K16" s="44">
        <f t="array" ref="K16">INDEX(T$14:T$17,MATCH(3,AA$14:AA$17,0))</f>
        <v>0</v>
      </c>
      <c r="L16" s="44">
        <f t="array" ref="L16">INDEX(U$14:U$17,MATCH(3,AA$14:AA$17,0))</f>
        <v>1</v>
      </c>
      <c r="M16" s="45">
        <f t="array" ref="M16">INDEX(V$14:V$17,MATCH(3,AA$14:AA$17,0))</f>
        <v>0</v>
      </c>
      <c r="N16" s="45">
        <f t="array" ref="N16">INDEX(W$14:W$17,MATCH(3,AA$14:AA$17,0))</f>
        <v>1</v>
      </c>
      <c r="O16" s="45">
        <f t="array" ref="O16">INDEX(X$14:X$17,MATCH(3,AA$14:AA$17,0))</f>
        <v>-1</v>
      </c>
      <c r="P16" s="49">
        <f t="array" ref="P16">INDEX(Y$14:Y$17,MATCH(3,AA$14:AA$17,0))</f>
        <v>0</v>
      </c>
      <c r="Q16" s="16" t="str">
        <f t="shared" si="2"/>
        <v>Gana</v>
      </c>
      <c r="R16" s="16">
        <f>((D6&lt;&gt;"")*( F6&lt;&gt;""))+((D7&lt;&gt;"")*( F7&lt;&gt;""))+((D9&lt;&gt;"")*( F9&lt;&gt;""))</f>
        <v>1</v>
      </c>
      <c r="S16" s="16">
        <f>IF(AND(D6&lt;&gt;"",F6&lt;&gt;""),IF(D6&gt;F6,1,0),0)+IF(AND(D7&lt;&gt;"",F7&lt;&gt;""),IF(F7&gt;D7,1,0),0)+IF(AND(D9&lt;&gt;"",F9&lt;&gt;""),IF(F9&gt;D9,1,0),0)</f>
        <v>1</v>
      </c>
      <c r="T16" s="16">
        <f>IF(AND(D6&lt;&gt;"",F6&lt;&gt;""),IF(D6=F6,1,0),0)+IF(AND(D7&lt;&gt;"",F7&lt;&gt;""),IF(D7=F7,1,0),0)+IF(AND(D9&lt;&gt;"",F9&lt;&gt;""),IF(D9=F9,1,0),0)</f>
        <v>0</v>
      </c>
      <c r="U16" s="16">
        <f>IF(AND(D6&lt;&gt;"",F6&lt;&gt;""),IF(D6&lt;F6,1,0),0)+IF(AND(D7&lt;&gt;"",F7&lt;&gt;""),IF(F7&lt;D7,1,0),0)+IF(AND(D9&lt;&gt;"",F9&lt;&gt;""),IF(F9&lt;D9,1,0),0)</f>
        <v>0</v>
      </c>
      <c r="V16" s="47">
        <f>IF(D6="",0,D6)+IF(F7="",0,F7)+IF(F9="",0,F9)</f>
        <v>1</v>
      </c>
      <c r="W16" s="47">
        <f>IF(F6="",0,F6)+IF(D7="",0,D7)+IF(D9="",0,D9)</f>
        <v>0</v>
      </c>
      <c r="X16" s="47">
        <f t="shared" si="3"/>
        <v>1</v>
      </c>
      <c r="Y16" s="16">
        <f t="shared" si="4"/>
        <v>3</v>
      </c>
      <c r="Z16" s="16">
        <f>Y16*1000000+(X16+100)*10000+V16*100+2</f>
        <v>4010102</v>
      </c>
      <c r="AA16" s="16">
        <f t="shared" si="5"/>
        <v>2</v>
      </c>
    </row>
    <row r="17" ht="21.75" customHeight="1">
      <c r="A17" s="50">
        <v>4.0</v>
      </c>
      <c r="B17" s="27" t="str">
        <f t="array" ref="B17">INDEX(Q$14:Q$17,MATCH(4,AA$14:AA$17,0))</f>
        <v>Croácia</v>
      </c>
      <c r="C17" s="43"/>
      <c r="D17" s="43"/>
      <c r="E17" s="43"/>
      <c r="F17" s="43"/>
      <c r="G17" s="43"/>
      <c r="H17" s="43"/>
      <c r="I17" s="44">
        <f t="array" ref="I17">INDEX(R$14:R$17,MATCH(4,AA$14:AA$17,0))</f>
        <v>1</v>
      </c>
      <c r="J17" s="44">
        <f t="array" ref="J17">INDEX(S$14:S$17,MATCH(4,AA$14:AA$17,0))</f>
        <v>0</v>
      </c>
      <c r="K17" s="44">
        <f t="array" ref="K17">INDEX(T$14:T$17,MATCH(4,AA$14:AA$17,0))</f>
        <v>0</v>
      </c>
      <c r="L17" s="44">
        <f t="array" ref="L17">INDEX(U$14:U$17,MATCH(4,AA$14:AA$17,0))</f>
        <v>1</v>
      </c>
      <c r="M17" s="45">
        <f t="array" ref="M17">INDEX(V$14:V$17,MATCH(4,AA$14:AA$17,0))</f>
        <v>2</v>
      </c>
      <c r="N17" s="45">
        <f t="array" ref="N17">INDEX(W$14:W$17,MATCH(4,AA$14:AA$17,0))</f>
        <v>4</v>
      </c>
      <c r="O17" s="45">
        <f t="array" ref="O17">INDEX(X$14:X$17,MATCH(4,AA$14:AA$17,0))</f>
        <v>-2</v>
      </c>
      <c r="P17" s="51">
        <f t="array" ref="P17">INDEX(Y$14:Y$17,MATCH(4,AA$14:AA$17,0))</f>
        <v>0</v>
      </c>
      <c r="Q17" s="16" t="str">
        <f t="shared" si="2"/>
        <v>Panamá</v>
      </c>
      <c r="R17" s="16">
        <f>((D6&lt;&gt;"")*( F6&lt;&gt;""))+((D8&lt;&gt;"")*( F8&lt;&gt;""))+((D10&lt;&gt;"")*( F10&lt;&gt;""))</f>
        <v>1</v>
      </c>
      <c r="S17" s="16">
        <f>IF(AND(D6&lt;&gt;"",F6&lt;&gt;""),IF(F6&gt;D6,1,0),0)+IF(AND(D8&lt;&gt;"",F8&lt;&gt;""),IF(D8&gt;F8,1,0),0)+IF(AND(D10&lt;&gt;"",F10&lt;&gt;""),IF(D10&gt;F10,1,0),0)</f>
        <v>0</v>
      </c>
      <c r="T17" s="16">
        <f>IF(AND(D6&lt;&gt;"",F6&lt;&gt;""),IF(D6=F6,1,0),0)+IF(AND(D8&lt;&gt;"",F8&lt;&gt;""),IF(D8=F8,1,0),0)+IF(AND(D10&lt;&gt;"",F10&lt;&gt;""),IF(D10=F10,1,0),0)</f>
        <v>0</v>
      </c>
      <c r="U17" s="16">
        <f>IF(AND(D6&lt;&gt;"",F6&lt;&gt;""),IF(F6&lt;D6,1,0),0)+IF(AND(D8&lt;&gt;"",F8&lt;&gt;""),IF(D8&lt;F8,1,0),0)+IF(AND(D10&lt;&gt;"",F10&lt;&gt;""),IF(D10&lt;F10,1,0),0)</f>
        <v>1</v>
      </c>
      <c r="V17" s="47">
        <f>IF(F6="",0,F6)+IF(D8="",0,D8)+IF(D10="",0,D10)</f>
        <v>0</v>
      </c>
      <c r="W17" s="47">
        <f>IF(D6="",0,D6)+IF(F8="",0,F8)+IF(F10="",0,F10)</f>
        <v>1</v>
      </c>
      <c r="X17" s="47">
        <f t="shared" si="3"/>
        <v>-1</v>
      </c>
      <c r="Y17" s="16">
        <f t="shared" si="4"/>
        <v>0</v>
      </c>
      <c r="Z17" s="16">
        <f>Y17*1000000+(X17+100)*10000+V17*100+1</f>
        <v>990001</v>
      </c>
      <c r="AA17" s="16">
        <f t="shared" si="5"/>
        <v>3</v>
      </c>
    </row>
    <row r="18" ht="14.25" customHeight="1"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7.5" customHeight="1"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52" t="s">
        <v>73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4.25" customHeight="1"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4.25" customHeight="1"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4.25" customHeight="1"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4.25" customHeight="1"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4.25" customHeight="1"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4.25" customHeight="1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4.25" customHeight="1"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4.25" customHeight="1"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4.25" customHeight="1"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4.25" customHeight="1"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4.25" customHeight="1"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4.25" customHeight="1"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4.25" customHeight="1"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4.25" customHeight="1"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4.25" customHeight="1"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4.25" customHeight="1"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4.25" customHeight="1"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4.25" customHeight="1"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4.25" customHeight="1"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4.25" customHeight="1"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4.25" customHeight="1"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4.25" customHeight="1"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4.25" customHeight="1"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4.25" customHeight="1"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4.25" customHeight="1"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4.25" customHeight="1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4.25" customHeight="1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4.25" customHeight="1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4.25" customHeight="1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4.25" customHeight="1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4.25" customHeight="1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4.25" customHeight="1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4.25" customHeight="1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4.25" customHeight="1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4.25" customHeight="1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4.25" customHeight="1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4.25" customHeight="1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4.25" customHeight="1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4.25" customHeight="1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4.25" customHeight="1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4.25" customHeight="1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4.25" customHeight="1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4.25" customHeight="1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4.25" customHeight="1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4.25" customHeight="1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4.25" customHeight="1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4.25" customHeight="1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4.25" customHeight="1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4.25" customHeight="1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4.25" customHeight="1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4.25" customHeight="1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4.25" customHeight="1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4.25" customHeight="1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4.25" customHeight="1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4.25" customHeight="1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4.25" customHeight="1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4.25" customHeight="1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4.25" customHeight="1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4.25" customHeight="1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4.25" customHeight="1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4.25" customHeight="1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4.25" customHeight="1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4.25" customHeight="1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4.25" customHeight="1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4.25" customHeight="1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4.25" customHeight="1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4.25" customHeight="1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4.25" customHeight="1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4.25" customHeight="1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4.25" customHeight="1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4.25" customHeight="1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4.25" customHeight="1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4.25" customHeight="1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4.25" customHeight="1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4.25" customHeight="1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4.25" customHeight="1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4.25" customHeight="1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4.25" customHeight="1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4.25" customHeight="1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4.25" customHeight="1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4.25" customHeight="1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4.25" customHeight="1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4.25" customHeight="1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4.25" customHeight="1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4.25" customHeight="1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4.25" customHeight="1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4.25" customHeight="1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4.25" customHeight="1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4.25" customHeight="1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4.25" customHeight="1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4.25" customHeight="1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4.25" customHeight="1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4.25" customHeight="1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4.25" customHeight="1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4.25" customHeight="1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4.25" customHeight="1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4.25" customHeight="1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4.25" customHeight="1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4.25" customHeight="1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4.25" customHeight="1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4.25" customHeight="1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4.25" customHeight="1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4.25" customHeight="1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4.25" customHeight="1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4.25" customHeight="1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4.25" customHeight="1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4.25" customHeight="1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4.25" customHeight="1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4.25" customHeight="1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4.25" customHeight="1"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4.25" customHeight="1"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4.25" customHeight="1"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4.25" customHeight="1"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4.25" customHeight="1"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4.25" customHeight="1"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4.25" customHeight="1"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4.25" customHeight="1"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4.25" customHeight="1"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4.25" customHeight="1"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4.25" customHeight="1"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4.25" customHeight="1"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4.25" customHeight="1"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4.25" customHeight="1"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4.25" customHeight="1"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4.25" customHeight="1"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4.25" customHeight="1"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4.25" customHeight="1"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4.25" customHeight="1"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4.25" customHeight="1"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4.25" customHeight="1"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4.25" customHeight="1"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4.25" customHeight="1"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4.25" customHeight="1"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4.25" customHeight="1"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4.25" customHeight="1"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4.25" customHeight="1"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4.25" customHeight="1"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4.25" customHeight="1"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4.25" customHeight="1"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4.25" customHeight="1"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4.25" customHeight="1"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4.25" customHeight="1"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4.25" customHeight="1"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4.25" customHeight="1"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4.25" customHeight="1"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4.25" customHeight="1"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4.25" customHeight="1"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4.25" customHeight="1"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4.25" customHeight="1"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4.25" customHeight="1"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4.25" customHeight="1"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4.25" customHeight="1"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4.25" customHeight="1"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4.25" customHeight="1"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4.25" customHeight="1"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4.25" customHeight="1"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4.25" customHeight="1"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4.25" customHeight="1"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4.25" customHeight="1"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4.25" customHeight="1"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4.25" customHeight="1"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4.25" customHeight="1"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4.25" customHeight="1"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4.25" customHeight="1"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4.25" customHeight="1"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4.25" customHeight="1"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4.25" customHeight="1"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4.25" customHeight="1"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4.25" customHeight="1"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4.25" customHeight="1"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4.25" customHeight="1"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4.25" customHeight="1"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4.25" customHeight="1"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4.25" customHeight="1"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4.25" customHeight="1"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4.25" customHeight="1"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4.25" customHeight="1"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4.25" customHeight="1"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4.25" customHeight="1"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4.25" customHeight="1"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4.25" customHeight="1"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4.25" customHeight="1"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4.25" customHeight="1"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4.25" customHeight="1"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4.25" customHeight="1"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4.25" customHeight="1"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4.25" customHeight="1"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4.25" customHeight="1"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4.25" customHeight="1"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4.25" customHeight="1"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4.25" customHeight="1"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4.25" customHeight="1"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4.25" customHeight="1"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4.25" customHeight="1"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4.25" customHeight="1"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4.25" customHeight="1"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4.25" customHeight="1"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4.25" customHeight="1"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4.25" customHeight="1"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4.25" customHeight="1"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4.25" customHeight="1"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4.25" customHeight="1"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4.25" customHeight="1"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4.25" customHeight="1"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4.25" customHeight="1"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4.25" customHeight="1"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4.25" customHeight="1"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4.25" customHeight="1"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4.25" customHeight="1"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4.25" customHeight="1"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4.25" customHeight="1"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4.25" customHeight="1"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4.25" customHeight="1"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4.25" customHeight="1"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4.25" customHeight="1"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4.25" customHeight="1"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4.25" customHeight="1"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4.25" customHeight="1"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4.25" customHeight="1"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4.25" customHeight="1"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4.25" customHeight="1"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4.25" customHeight="1"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4.25" customHeight="1"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4.25" customHeight="1"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4.25" customHeight="1"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4.25" customHeight="1"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4.25" customHeight="1"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4.25" customHeight="1"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4.25" customHeight="1"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4.25" customHeight="1"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4.25" customHeight="1"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4.25" customHeight="1"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4.25" customHeight="1"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4.25" customHeight="1"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4.25" customHeight="1"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4.25" customHeight="1"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4.25" customHeight="1"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4.25" customHeight="1"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4.25" customHeight="1"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4.25" customHeight="1"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4.25" customHeight="1"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4.25" customHeight="1"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4.25" customHeight="1"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4.25" customHeight="1"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4.25" customHeight="1"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4.25" customHeight="1"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4.25" customHeight="1"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4.25" customHeight="1"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4.25" customHeight="1"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4.25" customHeight="1"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4.25" customHeight="1"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4.25" customHeight="1"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4.25" customHeight="1"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4.25" customHeight="1"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4.25" customHeight="1"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4.25" customHeight="1"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4.25" customHeight="1"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4.25" customHeight="1"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4.25" customHeight="1"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4.25" customHeight="1"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4.25" customHeight="1"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4.25" customHeight="1"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4.25" customHeight="1"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4.25" customHeight="1"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4.25" customHeight="1"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4.25" customHeight="1"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4.25" customHeight="1"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4.25" customHeight="1"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4.25" customHeight="1"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4.25" customHeight="1"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4.25" customHeight="1"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4.25" customHeight="1"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4.25" customHeight="1"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4.25" customHeight="1"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4.25" customHeight="1"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4.25" customHeight="1"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4.25" customHeight="1"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4.25" customHeight="1"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4.25" customHeight="1"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4.25" customHeight="1"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4.25" customHeight="1"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4.25" customHeight="1"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4.25" customHeight="1"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4.25" customHeight="1"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4.25" customHeight="1"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4.25" customHeight="1"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4.25" customHeight="1"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4.25" customHeight="1"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4.25" customHeight="1"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4.25" customHeight="1"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4.25" customHeight="1"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4.25" customHeight="1"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4.25" customHeight="1"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4.25" customHeight="1"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4.25" customHeight="1"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4.25" customHeight="1"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4.25" customHeight="1"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4.25" customHeight="1"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4.25" customHeight="1"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4.25" customHeight="1"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4.25" customHeight="1"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4.25" customHeight="1"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4.25" customHeight="1"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4.25" customHeight="1"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4.25" customHeight="1"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4.25" customHeight="1"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4.25" customHeight="1"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4.25" customHeight="1"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4.25" customHeight="1"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4.25" customHeight="1"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4.25" customHeight="1"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4.25" customHeight="1"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4.25" customHeight="1"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4.25" customHeight="1"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4.25" customHeight="1"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4.25" customHeight="1"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4.25" customHeight="1"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4.25" customHeight="1"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4.25" customHeight="1"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4.25" customHeight="1"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4.25" customHeight="1"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4.25" customHeight="1"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4.25" customHeight="1"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4.25" customHeight="1"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4.25" customHeight="1"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4.25" customHeight="1"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4.25" customHeight="1"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4.25" customHeight="1"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4.25" customHeight="1"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4.25" customHeight="1"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4.25" customHeight="1"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4.25" customHeight="1"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4.25" customHeight="1"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4.25" customHeight="1"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4.25" customHeight="1"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4.25" customHeight="1"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4.25" customHeight="1"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4.25" customHeight="1"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4.25" customHeight="1"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4.25" customHeight="1"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4.25" customHeight="1"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4.25" customHeight="1"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4.25" customHeight="1"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4.25" customHeight="1"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4.25" customHeight="1"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4.25" customHeight="1"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4.25" customHeight="1"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4.25" customHeight="1"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4.25" customHeight="1"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4.25" customHeight="1"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4.25" customHeight="1"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4.25" customHeight="1"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4.25" customHeight="1"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4.25" customHeight="1"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4.25" customHeight="1"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4.25" customHeight="1"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4.25" customHeight="1"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4.25" customHeight="1"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4.25" customHeight="1"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4.25" customHeight="1"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4.25" customHeight="1"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4.25" customHeight="1"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4.25" customHeight="1"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4.25" customHeight="1"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4.25" customHeight="1"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4.25" customHeight="1"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4.25" customHeight="1"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4.25" customHeight="1"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4.25" customHeight="1"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4.25" customHeight="1"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4.25" customHeight="1"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4.25" customHeight="1"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4.25" customHeight="1"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4.25" customHeight="1"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4.25" customHeight="1"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4.25" customHeight="1"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4.25" customHeight="1"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4.25" customHeight="1"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4.25" customHeight="1"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4.25" customHeight="1"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4.25" customHeight="1"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4.25" customHeight="1"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4.25" customHeight="1"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4.25" customHeight="1"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4.25" customHeight="1"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4.25" customHeight="1"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4.25" customHeight="1"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4.25" customHeight="1"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4.25" customHeight="1"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4.25" customHeight="1"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4.25" customHeight="1"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4.25" customHeight="1"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4.25" customHeight="1"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4.25" customHeight="1"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4.25" customHeight="1"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4.25" customHeight="1"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4.25" customHeight="1"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4.25" customHeight="1"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4.25" customHeight="1"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4.25" customHeight="1"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4.25" customHeight="1"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4.25" customHeight="1"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4.25" customHeight="1"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4.25" customHeight="1"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4.25" customHeight="1"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4.25" customHeight="1"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4.25" customHeight="1"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4.25" customHeight="1"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4.25" customHeight="1"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4.25" customHeight="1"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4.25" customHeight="1"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4.25" customHeight="1"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4.25" customHeight="1"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4.25" customHeight="1"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4.25" customHeight="1"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4.25" customHeight="1"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4.25" customHeight="1"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4.25" customHeight="1"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4.25" customHeight="1"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4.25" customHeight="1"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4.25" customHeight="1"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4.25" customHeight="1"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4.25" customHeight="1"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4.25" customHeight="1"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4.25" customHeight="1"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4.25" customHeight="1"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4.25" customHeight="1"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4.25" customHeight="1"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4.25" customHeight="1"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4.25" customHeight="1"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4.25" customHeight="1"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4.25" customHeight="1"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4.25" customHeight="1"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4.25" customHeight="1"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4.25" customHeight="1"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4.25" customHeight="1"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4.25" customHeight="1"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4.25" customHeight="1"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4.25" customHeight="1"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4.25" customHeight="1"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4.25" customHeight="1"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4.25" customHeight="1"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4.25" customHeight="1"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4.25" customHeight="1"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4.25" customHeight="1"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4.25" customHeight="1"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4.25" customHeight="1"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4.25" customHeight="1"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4.25" customHeight="1"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4.25" customHeight="1"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4.25" customHeight="1"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4.25" customHeight="1"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4.25" customHeight="1"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4.25" customHeight="1"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4.25" customHeight="1"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4.25" customHeight="1"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4.25" customHeight="1"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4.25" customHeight="1"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4.25" customHeight="1"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4.25" customHeight="1"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4.25" customHeight="1"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4.25" customHeight="1"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4.25" customHeight="1"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4.25" customHeight="1"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4.25" customHeight="1"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4.25" customHeight="1"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4.25" customHeight="1"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4.25" customHeight="1"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4.25" customHeight="1"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4.25" customHeight="1"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4.25" customHeight="1"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4.25" customHeight="1"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4.25" customHeight="1"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4.25" customHeight="1"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4.25" customHeight="1"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4.25" customHeight="1"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4.25" customHeight="1"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4.25" customHeight="1"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4.25" customHeight="1"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4.25" customHeight="1"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4.25" customHeight="1"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4.25" customHeight="1"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4.25" customHeight="1"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4.25" customHeight="1"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4.25" customHeight="1"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4.25" customHeight="1"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4.25" customHeight="1"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4.25" customHeight="1"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4.25" customHeight="1"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4.25" customHeight="1"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4.25" customHeight="1"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4.25" customHeight="1"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4.25" customHeight="1"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4.25" customHeight="1"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4.25" customHeight="1"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4.25" customHeight="1"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4.25" customHeight="1"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4.25" customHeight="1"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4.25" customHeight="1"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4.25" customHeight="1"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4.25" customHeight="1"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4.25" customHeight="1"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4.25" customHeight="1"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4.25" customHeight="1"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4.25" customHeight="1"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4.25" customHeight="1"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4.25" customHeight="1"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4.25" customHeight="1"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4.25" customHeight="1"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4.25" customHeight="1"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4.25" customHeight="1"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4.25" customHeight="1"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4.25" customHeight="1"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4.25" customHeight="1"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4.25" customHeight="1"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4.25" customHeight="1"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4.25" customHeight="1"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4.25" customHeight="1"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4.25" customHeight="1"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4.25" customHeight="1"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4.25" customHeight="1"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4.25" customHeight="1"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4.25" customHeight="1"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4.25" customHeight="1"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4.25" customHeight="1"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4.25" customHeight="1"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4.25" customHeight="1"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4.25" customHeight="1"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4.25" customHeight="1"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4.25" customHeight="1"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4.25" customHeight="1"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4.25" customHeight="1"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4.25" customHeight="1"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4.25" customHeight="1"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4.25" customHeight="1"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4.25" customHeight="1"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4.25" customHeight="1"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4.25" customHeight="1"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4.25" customHeight="1"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4.25" customHeight="1"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4.25" customHeight="1"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4.25" customHeight="1"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4.25" customHeight="1"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4.25" customHeight="1"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4.25" customHeight="1"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4.25" customHeight="1"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4.25" customHeight="1"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4.25" customHeight="1"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4.25" customHeight="1"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4.25" customHeight="1"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4.25" customHeight="1"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4.25" customHeight="1"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4.25" customHeight="1"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4.25" customHeight="1"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4.25" customHeight="1"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4.25" customHeight="1"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4.25" customHeight="1"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4.25" customHeight="1"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4.25" customHeight="1"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4.25" customHeight="1"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4.25" customHeight="1"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4.25" customHeight="1"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4.25" customHeight="1"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4.25" customHeight="1"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4.25" customHeight="1"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4.25" customHeight="1"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4.25" customHeight="1"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4.25" customHeight="1"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4.25" customHeight="1"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4.25" customHeight="1"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4.25" customHeight="1"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4.25" customHeight="1"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4.25" customHeight="1"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4.25" customHeight="1"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4.25" customHeight="1"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4.25" customHeight="1"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4.25" customHeight="1"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4.25" customHeight="1"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4.25" customHeight="1"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4.25" customHeight="1"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4.25" customHeight="1"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4.25" customHeight="1"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4.25" customHeight="1"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4.25" customHeight="1"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4.25" customHeight="1"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4.25" customHeight="1"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4.25" customHeight="1"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4.25" customHeight="1"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4.25" customHeight="1"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4.25" customHeight="1"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4.25" customHeight="1"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4.25" customHeight="1"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4.25" customHeight="1"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4.25" customHeight="1"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4.25" customHeight="1"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4.25" customHeight="1"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4.25" customHeight="1"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4.25" customHeight="1"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4.25" customHeight="1"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4.25" customHeight="1"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4.25" customHeight="1"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4.25" customHeight="1"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4.25" customHeight="1"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4.25" customHeight="1"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4.25" customHeight="1"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4.25" customHeight="1"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4.25" customHeight="1"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4.25" customHeight="1"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4.25" customHeight="1"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4.25" customHeight="1"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4.25" customHeight="1"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4.25" customHeight="1"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4.25" customHeight="1"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4.25" customHeight="1"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4.25" customHeight="1"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4.25" customHeight="1"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4.25" customHeight="1"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4.25" customHeight="1"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4.25" customHeight="1"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4.25" customHeight="1"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4.25" customHeight="1"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4.25" customHeight="1"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4.25" customHeight="1"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4.25" customHeight="1"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4.25" customHeight="1"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4.25" customHeight="1"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4.25" customHeight="1"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4.25" customHeight="1"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4.25" customHeight="1"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4.25" customHeight="1"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4.25" customHeight="1"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4.25" customHeight="1"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4.25" customHeight="1"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4.25" customHeight="1"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4.25" customHeight="1"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4.25" customHeight="1"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4.25" customHeight="1"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4.25" customHeight="1"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4.25" customHeight="1"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4.25" customHeight="1"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4.25" customHeight="1"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4.25" customHeight="1"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4.25" customHeight="1"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4.25" customHeight="1"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4.25" customHeight="1"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4.25" customHeight="1"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4.25" customHeight="1"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4.25" customHeight="1"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4.25" customHeight="1"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4.25" customHeight="1"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4.25" customHeight="1"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4.25" customHeight="1"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4.25" customHeight="1"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4.25" customHeight="1"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4.25" customHeight="1"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4.25" customHeight="1"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4.25" customHeight="1"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4.25" customHeight="1"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4.25" customHeight="1"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4.25" customHeight="1"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4.25" customHeight="1"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4.25" customHeight="1"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4.25" customHeight="1"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4.25" customHeight="1"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4.25" customHeight="1"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4.25" customHeight="1"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4.25" customHeight="1"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4.25" customHeight="1"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4.25" customHeight="1"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4.25" customHeight="1"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4.25" customHeight="1"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4.25" customHeight="1"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4.25" customHeight="1"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4.25" customHeight="1"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4.25" customHeight="1"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4.25" customHeight="1"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4.25" customHeight="1"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4.25" customHeight="1"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4.25" customHeight="1"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4.25" customHeight="1"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4.25" customHeight="1"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4.25" customHeight="1"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4.25" customHeight="1"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4.25" customHeight="1"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4.25" customHeight="1"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4.25" customHeight="1"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4.25" customHeight="1"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4.25" customHeight="1"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4.25" customHeight="1"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4.25" customHeight="1"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4.25" customHeight="1"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4.25" customHeight="1"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4.25" customHeight="1"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4.25" customHeight="1"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4.25" customHeight="1"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4.25" customHeight="1"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4.25" customHeight="1"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4.25" customHeight="1"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4.25" customHeight="1"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4.25" customHeight="1"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4.25" customHeight="1"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4.25" customHeight="1"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4.25" customHeight="1"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4.25" customHeight="1"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4.25" customHeight="1"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4.25" customHeight="1"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4.25" customHeight="1"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4.25" customHeight="1"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4.25" customHeight="1"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4.25" customHeight="1"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4.25" customHeight="1"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4.25" customHeight="1"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4.25" customHeight="1"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4.25" customHeight="1"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4.25" customHeight="1"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4.25" customHeight="1"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4.25" customHeight="1"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4.25" customHeight="1"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4.25" customHeight="1"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4.25" customHeight="1"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4.25" customHeight="1"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4.25" customHeight="1"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4.25" customHeight="1"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4.25" customHeight="1"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4.25" customHeight="1"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4.25" customHeight="1"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4.25" customHeight="1"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4.25" customHeight="1"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4.25" customHeight="1"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4.25" customHeight="1"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4.25" customHeight="1"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4.25" customHeight="1"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4.25" customHeight="1"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4.25" customHeight="1"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4.25" customHeight="1"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4.25" customHeight="1"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4.25" customHeight="1"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4.25" customHeight="1"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4.25" customHeight="1"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4.25" customHeight="1"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3">
    <mergeCell ref="I8:K8"/>
    <mergeCell ref="I9:K9"/>
    <mergeCell ref="I10:K10"/>
    <mergeCell ref="M10:P10"/>
    <mergeCell ref="A12:P12"/>
    <mergeCell ref="A20:P20"/>
    <mergeCell ref="A1:P1"/>
    <mergeCell ref="A3:P3"/>
    <mergeCell ref="I4:K4"/>
    <mergeCell ref="I5:K5"/>
    <mergeCell ref="M5:P5"/>
    <mergeCell ref="I6:K6"/>
    <mergeCell ref="I7:K7"/>
  </mergeCells>
  <hyperlinks>
    <hyperlink display="A" location="'Gr-A'!A1" ref="M6"/>
    <hyperlink display="B" location="'Gr-B'!A1" ref="N6"/>
    <hyperlink display="C" location="'Gr-C'!A1" ref="O6"/>
    <hyperlink display="D" location="'Gr-D'!A1" ref="P6"/>
    <hyperlink display="E" location="'Gr-E'!A1" ref="M7"/>
    <hyperlink display="F" location="'Gr-F'!A1" ref="N7"/>
    <hyperlink display="G" location="'Gr-G'!A1" ref="O7"/>
    <hyperlink display="H" location="'Gr-H'!A1" ref="P7"/>
    <hyperlink display="I" location="'Gr-I'!A1" ref="M8"/>
    <hyperlink display="J" location="'Gr-J'!A1" ref="N8"/>
    <hyperlink display="K" location="'Gr-K'!A1" ref="O8"/>
    <hyperlink r:id="rId1" ref="M10"/>
  </hyperlinks>
  <printOptions/>
  <pageMargins bottom="1.0" footer="0.0" header="0.0" left="0.75" right="0.75" top="1.0"/>
  <pageSetup paperSize="9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CDE5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0.0"/>
    <col customWidth="1" min="3" max="3" width="6.0"/>
    <col customWidth="1" min="4" max="6" width="5.0"/>
    <col customWidth="1" min="7" max="7" width="19.29"/>
    <col customWidth="1" hidden="1" min="8" max="13" width="14.0"/>
    <col customWidth="1" hidden="1" min="14" max="14" width="7.71"/>
    <col customWidth="1" min="15" max="26" width="8.71"/>
  </cols>
  <sheetData>
    <row r="1" ht="30.0" customHeight="1">
      <c r="A1" s="56" t="s">
        <v>200</v>
      </c>
      <c r="B1" s="15"/>
      <c r="C1" s="15"/>
      <c r="D1" s="15"/>
      <c r="E1" s="15"/>
      <c r="F1" s="15"/>
      <c r="G1" s="2"/>
      <c r="P1" s="9">
        <f>COUNTA('Gr-A'!D5:D10)+COUNTA('Gr-B'!D5:D10)+COUNTA('Gr-C'!D5:D10)+COUNTA('Gr-D'!D5:D10)+COUNTA('Gr-E'!D5:D10)+COUNTA('Gr-F'!D5:D10)+COUNTA('Gr-G'!D5:D10)+COUNTA('Gr-H'!D5:D10)+COUNTA('Gr-I'!D5:D10)+COUNTA('Gr-J'!D5:D10)+COUNTA('Gr-K'!D5:D10)+COUNTA('Gr-L'!D5:D10)</f>
        <v>41</v>
      </c>
    </row>
    <row r="2" ht="7.5" customHeight="1"/>
    <row r="3" ht="19.5" customHeight="1">
      <c r="A3" s="17" t="s">
        <v>201</v>
      </c>
      <c r="B3" s="15"/>
      <c r="C3" s="15"/>
      <c r="D3" s="15"/>
      <c r="E3" s="15"/>
      <c r="F3" s="15"/>
      <c r="G3" s="2"/>
    </row>
    <row r="4" ht="18.0" customHeight="1">
      <c r="A4" s="18" t="s">
        <v>66</v>
      </c>
      <c r="B4" s="18" t="s">
        <v>67</v>
      </c>
      <c r="C4" s="18" t="s">
        <v>202</v>
      </c>
      <c r="D4" s="18" t="s">
        <v>72</v>
      </c>
      <c r="E4" s="18" t="s">
        <v>71</v>
      </c>
      <c r="F4" s="18" t="s">
        <v>69</v>
      </c>
      <c r="G4" s="18" t="s">
        <v>203</v>
      </c>
    </row>
    <row r="5" ht="15.0" customHeight="1">
      <c r="H5" s="9" t="str">
        <f>"A"</f>
        <v>A</v>
      </c>
      <c r="I5" s="9">
        <f t="array" ref="I5">INDEX('Gr-A'!Y$14:Y$17,MATCH(3,'Gr-A'!AA$14:AA$17,0))</f>
        <v>1</v>
      </c>
      <c r="J5" s="57">
        <f t="array" ref="J5">INDEX('Gr-A'!X$14:X$17,MATCH(3,'Gr-A'!AA$14:AA$17,0))</f>
        <v>-1</v>
      </c>
      <c r="K5" s="57">
        <f t="array" ref="K5">INDEX('Gr-A'!V$14:V$17,MATCH(3,'Gr-A'!AA$14:AA$17,0))</f>
        <v>2</v>
      </c>
      <c r="L5" s="9">
        <f>I5*1000000+(J5+100)*10000+K5*100+12</f>
        <v>1990212</v>
      </c>
      <c r="M5" s="9">
        <f t="shared" ref="M5:M16" si="1">RANK(L5,L$5:L$16,0)</f>
        <v>7</v>
      </c>
      <c r="N5" s="9" t="str">
        <f t="array" ref="N5">INDEX('Gr-A'!Q$14:Q$17,MATCH(3,'Gr-A'!AA$14:AA$17,0))</f>
        <v>República Tcheca</v>
      </c>
    </row>
    <row r="6" ht="15.0" customHeight="1">
      <c r="H6" s="9" t="str">
        <f>"B"</f>
        <v>B</v>
      </c>
      <c r="I6" s="9">
        <f t="array" ref="I6">INDEX('Gr-B'!Y$14:Y$17,MATCH(3,'Gr-B'!AA$14:AA$17,0))</f>
        <v>1</v>
      </c>
      <c r="J6" s="57">
        <f t="array" ref="J6">INDEX('Gr-B'!X$14:X$17,MATCH(3,'Gr-B'!AA$14:AA$17,0))</f>
        <v>-3</v>
      </c>
      <c r="K6" s="57">
        <f t="array" ref="K6">INDEX('Gr-B'!V$14:V$17,MATCH(3,'Gr-B'!AA$14:AA$17,0))</f>
        <v>2</v>
      </c>
      <c r="L6" s="9">
        <f>I6*1000000+(J6+100)*10000+K6*100+11</f>
        <v>1970211</v>
      </c>
      <c r="M6" s="9">
        <f t="shared" si="1"/>
        <v>9</v>
      </c>
      <c r="N6" s="9" t="str">
        <f t="array" ref="N6">INDEX('Gr-B'!Q$14:Q$17,MATCH(3,'Gr-B'!AA$14:AA$17,0))</f>
        <v>Bósnia-Herzegovina</v>
      </c>
    </row>
    <row r="7" ht="15.0" customHeight="1">
      <c r="H7" s="9" t="str">
        <f>"C"</f>
        <v>C</v>
      </c>
      <c r="I7" s="9">
        <f t="array" ref="I7">INDEX('Gr-C'!Y$14:Y$17,MATCH(3,'Gr-C'!AA$14:AA$17,0))</f>
        <v>3</v>
      </c>
      <c r="J7" s="57">
        <f t="array" ref="J7">INDEX('Gr-C'!X$14:X$17,MATCH(3,'Gr-C'!AA$14:AA$17,0))</f>
        <v>0</v>
      </c>
      <c r="K7" s="57">
        <f t="array" ref="K7">INDEX('Gr-C'!V$14:V$17,MATCH(3,'Gr-C'!AA$14:AA$17,0))</f>
        <v>1</v>
      </c>
      <c r="L7" s="9">
        <f>I7*1000000+(J7+100)*10000+K7*100+10</f>
        <v>4000110</v>
      </c>
      <c r="M7" s="9">
        <f t="shared" si="1"/>
        <v>2</v>
      </c>
      <c r="N7" s="9" t="str">
        <f t="array" ref="N7">INDEX('Gr-C'!Q$14:Q$17,MATCH(3,'Gr-C'!AA$14:AA$17,0))</f>
        <v>Escócia</v>
      </c>
    </row>
    <row r="8" ht="15.0" customHeight="1">
      <c r="H8" s="9" t="str">
        <f>"D"</f>
        <v>D</v>
      </c>
      <c r="I8" s="9">
        <f t="array" ref="I8">INDEX('Gr-D'!Y$14:Y$17,MATCH(3,'Gr-D'!AA$14:AA$17,0))</f>
        <v>3</v>
      </c>
      <c r="J8" s="57">
        <f t="array" ref="J8">INDEX('Gr-D'!X$14:X$17,MATCH(3,'Gr-D'!AA$14:AA$17,0))</f>
        <v>-2</v>
      </c>
      <c r="K8" s="57">
        <f t="array" ref="K8">INDEX('Gr-D'!V$14:V$17,MATCH(3,'Gr-D'!AA$14:AA$17,0))</f>
        <v>2</v>
      </c>
      <c r="L8" s="9">
        <f>I8*1000000+(J8+100)*10000+K8*100+9</f>
        <v>3980209</v>
      </c>
      <c r="M8" s="9">
        <f t="shared" si="1"/>
        <v>3</v>
      </c>
      <c r="N8" s="9" t="str">
        <f t="array" ref="N8">INDEX('Gr-D'!Q$14:Q$17,MATCH(3,'Gr-D'!AA$14:AA$17,0))</f>
        <v>Paraguai</v>
      </c>
    </row>
    <row r="9" ht="15.0" customHeight="1">
      <c r="H9" s="9" t="str">
        <f>"E"</f>
        <v>E</v>
      </c>
      <c r="I9" s="9">
        <f t="array" ref="I9">INDEX('Gr-E'!Y$14:Y$17,MATCH(3,'Gr-E'!AA$14:AA$17,0))</f>
        <v>1</v>
      </c>
      <c r="J9" s="57">
        <f t="array" ref="J9">INDEX('Gr-E'!X$14:X$17,MATCH(3,'Gr-E'!AA$14:AA$17,0))</f>
        <v>-1</v>
      </c>
      <c r="K9" s="57">
        <f t="array" ref="K9">INDEX('Gr-E'!V$14:V$17,MATCH(3,'Gr-E'!AA$14:AA$17,0))</f>
        <v>0</v>
      </c>
      <c r="L9" s="9">
        <f>I9*1000000+(J9+100)*10000+K9*100+8</f>
        <v>1990008</v>
      </c>
      <c r="M9" s="9">
        <f t="shared" si="1"/>
        <v>8</v>
      </c>
      <c r="N9" s="9" t="str">
        <f t="array" ref="N9">INDEX('Gr-E'!Q$14:Q$17,MATCH(3,'Gr-E'!AA$14:AA$17,0))</f>
        <v>Equador</v>
      </c>
    </row>
    <row r="10" ht="15.0" customHeight="1">
      <c r="H10" s="9" t="str">
        <f>"F"</f>
        <v>F</v>
      </c>
      <c r="I10" s="9">
        <f t="array" ref="I10">INDEX('Gr-F'!Y$14:Y$17,MATCH(3,'Gr-F'!AA$14:AA$17,0))</f>
        <v>3</v>
      </c>
      <c r="J10" s="57">
        <f t="array" ref="J10">INDEX('Gr-F'!X$14:X$17,MATCH(3,'Gr-F'!AA$14:AA$17,0))</f>
        <v>0</v>
      </c>
      <c r="K10" s="57">
        <f t="array" ref="K10">INDEX('Gr-F'!V$14:V$17,MATCH(3,'Gr-F'!AA$14:AA$17,0))</f>
        <v>6</v>
      </c>
      <c r="L10" s="9">
        <f>I10*1000000+(J10+100)*10000+K10*100+7</f>
        <v>4000607</v>
      </c>
      <c r="M10" s="9">
        <f t="shared" si="1"/>
        <v>1</v>
      </c>
      <c r="N10" s="9" t="str">
        <f t="array" ref="N10">INDEX('Gr-F'!Q$14:Q$17,MATCH(3,'Gr-F'!AA$14:AA$17,0))</f>
        <v>Suécia</v>
      </c>
    </row>
    <row r="11" ht="15.0" customHeight="1">
      <c r="H11" s="9" t="str">
        <f>"G"</f>
        <v>G</v>
      </c>
      <c r="I11" s="9">
        <f t="array" ref="I11">INDEX('Gr-G'!Y$14:Y$17,MATCH(3,'Gr-G'!AA$14:AA$17,0))</f>
        <v>2</v>
      </c>
      <c r="J11" s="57">
        <f t="array" ref="J11">INDEX('Gr-G'!X$14:X$17,MATCH(3,'Gr-G'!AA$14:AA$17,0))</f>
        <v>0</v>
      </c>
      <c r="K11" s="57">
        <f t="array" ref="K11">INDEX('Gr-G'!V$14:V$17,MATCH(3,'Gr-G'!AA$14:AA$17,0))</f>
        <v>1</v>
      </c>
      <c r="L11" s="9">
        <f>I11*1000000+(J11+100)*10000+K11*100+6</f>
        <v>3000106</v>
      </c>
      <c r="M11" s="9">
        <f t="shared" si="1"/>
        <v>5</v>
      </c>
      <c r="N11" s="9" t="str">
        <f t="array" ref="N11">INDEX('Gr-G'!Q$14:Q$17,MATCH(3,'Gr-G'!AA$14:AA$17,0))</f>
        <v>Bélgica</v>
      </c>
    </row>
    <row r="12" ht="15.0" customHeight="1">
      <c r="H12" s="9" t="str">
        <f>"H"</f>
        <v>H</v>
      </c>
      <c r="I12" s="9">
        <f t="array" ref="I12">INDEX('Gr-H'!Y$14:Y$17,MATCH(3,'Gr-H'!AA$14:AA$17,0))</f>
        <v>2</v>
      </c>
      <c r="J12" s="57">
        <f t="array" ref="J12">INDEX('Gr-H'!X$14:X$17,MATCH(3,'Gr-H'!AA$14:AA$17,0))</f>
        <v>0</v>
      </c>
      <c r="K12" s="57">
        <f t="array" ref="K12">INDEX('Gr-H'!V$14:V$17,MATCH(3,'Gr-H'!AA$14:AA$17,0))</f>
        <v>2</v>
      </c>
      <c r="L12" s="9">
        <f>I12*1000000+(J12+100)*10000+K12*100+5</f>
        <v>3000205</v>
      </c>
      <c r="M12" s="9">
        <f t="shared" si="1"/>
        <v>4</v>
      </c>
      <c r="N12" s="9" t="str">
        <f t="array" ref="N12">INDEX('Gr-H'!Q$14:Q$17,MATCH(3,'Gr-H'!AA$14:AA$17,0))</f>
        <v>Cabo Verde</v>
      </c>
    </row>
    <row r="13" ht="15.0" customHeight="1">
      <c r="H13" s="9" t="str">
        <f>"I"</f>
        <v>I</v>
      </c>
      <c r="I13" s="9">
        <f t="array" ref="I13">INDEX('Gr-I'!Y$14:Y$17,MATCH(3,'Gr-I'!AA$14:AA$17,0))</f>
        <v>0</v>
      </c>
      <c r="J13" s="57">
        <f t="array" ref="J13">INDEX('Gr-I'!X$14:X$17,MATCH(3,'Gr-I'!AA$14:AA$17,0))</f>
        <v>-2</v>
      </c>
      <c r="K13" s="57">
        <f t="array" ref="K13">INDEX('Gr-I'!V$14:V$17,MATCH(3,'Gr-I'!AA$14:AA$17,0))</f>
        <v>1</v>
      </c>
      <c r="L13" s="9">
        <f>I13*1000000+(J13+100)*10000+K13*100+4</f>
        <v>980104</v>
      </c>
      <c r="M13" s="9">
        <f t="shared" si="1"/>
        <v>11</v>
      </c>
      <c r="N13" s="9" t="str">
        <f t="array" ref="N13">INDEX('Gr-I'!Q$14:Q$17,MATCH(3,'Gr-I'!AA$14:AA$17,0))</f>
        <v>Senegal</v>
      </c>
    </row>
    <row r="14" ht="15.0" customHeight="1">
      <c r="H14" s="9" t="str">
        <f>"J"</f>
        <v>J</v>
      </c>
      <c r="I14" s="9">
        <f t="array" ref="I14">INDEX('Gr-J'!Y$14:Y$17,MATCH(3,'Gr-J'!AA$14:AA$17,0))</f>
        <v>0</v>
      </c>
      <c r="J14" s="57">
        <f t="array" ref="J14">INDEX('Gr-J'!X$14:X$17,MATCH(3,'Gr-J'!AA$14:AA$17,0))</f>
        <v>-2</v>
      </c>
      <c r="K14" s="57">
        <f t="array" ref="K14">INDEX('Gr-J'!V$14:V$17,MATCH(3,'Gr-J'!AA$14:AA$17,0))</f>
        <v>1</v>
      </c>
      <c r="L14" s="9">
        <f>I14*1000000+(J14+100)*10000+K14*100+3</f>
        <v>980103</v>
      </c>
      <c r="M14" s="9">
        <f t="shared" si="1"/>
        <v>12</v>
      </c>
      <c r="N14" s="9" t="str">
        <f t="array" ref="N14">INDEX('Gr-J'!Q$14:Q$17,MATCH(3,'Gr-J'!AA$14:AA$17,0))</f>
        <v>Jordânia</v>
      </c>
    </row>
    <row r="15" ht="15.0" customHeight="1">
      <c r="H15" s="9" t="str">
        <f>"K"</f>
        <v>K</v>
      </c>
      <c r="I15" s="9">
        <f t="array" ref="I15">INDEX('Gr-K'!Y$14:Y$17,MATCH(3,'Gr-K'!AA$14:AA$17,0))</f>
        <v>1</v>
      </c>
      <c r="J15" s="57">
        <f t="array" ref="J15">INDEX('Gr-K'!X$14:X$17,MATCH(3,'Gr-K'!AA$14:AA$17,0))</f>
        <v>0</v>
      </c>
      <c r="K15" s="57">
        <f t="array" ref="K15">INDEX('Gr-K'!V$14:V$17,MATCH(3,'Gr-K'!AA$14:AA$17,0))</f>
        <v>1</v>
      </c>
      <c r="L15" s="9">
        <f>I15*1000000+(J15+100)*10000+K15*100+2</f>
        <v>2000102</v>
      </c>
      <c r="M15" s="9">
        <f t="shared" si="1"/>
        <v>6</v>
      </c>
      <c r="N15" s="9" t="str">
        <f t="array" ref="N15">INDEX('Gr-K'!Q$14:Q$17,MATCH(3,'Gr-K'!AA$14:AA$17,0))</f>
        <v>RD Congo</v>
      </c>
    </row>
    <row r="16" ht="15.0" customHeight="1">
      <c r="H16" s="9" t="str">
        <f>"L"</f>
        <v>L</v>
      </c>
      <c r="I16" s="9">
        <f t="array" ref="I16">INDEX('Gr-L'!Y$14:Y$17,MATCH(3,'Gr-L'!AA$14:AA$17,0))</f>
        <v>0</v>
      </c>
      <c r="J16" s="57">
        <f t="array" ref="J16">INDEX('Gr-L'!X$14:X$17,MATCH(3,'Gr-L'!AA$14:AA$17,0))</f>
        <v>-1</v>
      </c>
      <c r="K16" s="57">
        <f t="array" ref="K16">INDEX('Gr-L'!V$14:V$17,MATCH(3,'Gr-L'!AA$14:AA$17,0))</f>
        <v>0</v>
      </c>
      <c r="L16" s="9">
        <f>I16*1000000+(J16+100)*10000+K16*100+1</f>
        <v>990001</v>
      </c>
      <c r="M16" s="9">
        <f t="shared" si="1"/>
        <v>10</v>
      </c>
      <c r="N16" s="9" t="str">
        <f t="array" ref="N16">INDEX('Gr-L'!Q$14:Q$17,MATCH(3,'Gr-L'!AA$14:AA$17,0))</f>
        <v>Panamá</v>
      </c>
    </row>
    <row r="17" ht="14.25" customHeight="1"/>
    <row r="18" ht="7.5" customHeight="1"/>
    <row r="19" ht="19.5" customHeight="1">
      <c r="A19" s="17" t="s">
        <v>204</v>
      </c>
      <c r="B19" s="15"/>
      <c r="C19" s="15"/>
      <c r="D19" s="15"/>
      <c r="E19" s="15"/>
      <c r="F19" s="15"/>
      <c r="G19" s="2"/>
    </row>
    <row r="20" ht="18.0" customHeight="1">
      <c r="A20" s="18" t="s">
        <v>66</v>
      </c>
      <c r="B20" s="18" t="s">
        <v>67</v>
      </c>
      <c r="C20" s="18" t="s">
        <v>202</v>
      </c>
      <c r="D20" s="18" t="s">
        <v>72</v>
      </c>
      <c r="E20" s="18" t="s">
        <v>71</v>
      </c>
      <c r="F20" s="18" t="s">
        <v>69</v>
      </c>
      <c r="G20" s="18" t="s">
        <v>203</v>
      </c>
    </row>
    <row r="21" ht="21.75" customHeight="1">
      <c r="A21" s="58">
        <v>1.0</v>
      </c>
      <c r="B21" s="27" t="str">
        <f t="array" ref="B21">INDEX(N$5:N$16,MATCH(1,M$5:M$16,0))</f>
        <v>Suécia</v>
      </c>
      <c r="C21" s="44" t="str">
        <f t="array" ref="C21">INDEX(H$5:H$16,MATCH(1,M$5:M$16,0))</f>
        <v>F</v>
      </c>
      <c r="D21" s="58">
        <f t="array" ref="D21">INDEX(I$5:I$16,MATCH(1,M$5:M$16,0))</f>
        <v>3</v>
      </c>
      <c r="E21" s="45">
        <f t="array" ref="E21">INDEX(J$5:J$16,MATCH(1,M$5:M$16,0))</f>
        <v>0</v>
      </c>
      <c r="F21" s="45">
        <f t="array" ref="F21">INDEX(K$5:K$16,MATCH(1,M$5:M$16,0))</f>
        <v>6</v>
      </c>
      <c r="G21" s="59" t="s">
        <v>205</v>
      </c>
    </row>
    <row r="22" ht="21.75" customHeight="1">
      <c r="A22" s="58">
        <v>2.0</v>
      </c>
      <c r="B22" s="27" t="str">
        <f t="array" ref="B22">INDEX(N$5:N$16,MATCH(2,M$5:M$16,0))</f>
        <v>Escócia</v>
      </c>
      <c r="C22" s="44" t="str">
        <f t="array" ref="C22">INDEX(H$5:H$16,MATCH(2,M$5:M$16,0))</f>
        <v>C</v>
      </c>
      <c r="D22" s="58">
        <f t="array" ref="D22">INDEX(I$5:I$16,MATCH(2,M$5:M$16,0))</f>
        <v>3</v>
      </c>
      <c r="E22" s="45">
        <f t="array" ref="E22">INDEX(J$5:J$16,MATCH(2,M$5:M$16,0))</f>
        <v>0</v>
      </c>
      <c r="F22" s="45">
        <f t="array" ref="F22">INDEX(K$5:K$16,MATCH(2,M$5:M$16,0))</f>
        <v>1</v>
      </c>
      <c r="G22" s="59" t="s">
        <v>205</v>
      </c>
    </row>
    <row r="23" ht="21.75" customHeight="1">
      <c r="A23" s="58">
        <v>3.0</v>
      </c>
      <c r="B23" s="27" t="str">
        <f t="array" ref="B23">INDEX(N$5:N$16,MATCH(3,M$5:M$16,0))</f>
        <v>Paraguai</v>
      </c>
      <c r="C23" s="44" t="str">
        <f t="array" ref="C23">INDEX(H$5:H$16,MATCH(3,M$5:M$16,0))</f>
        <v>D</v>
      </c>
      <c r="D23" s="58">
        <f t="array" ref="D23">INDEX(I$5:I$16,MATCH(3,M$5:M$16,0))</f>
        <v>3</v>
      </c>
      <c r="E23" s="45">
        <f t="array" ref="E23">INDEX(J$5:J$16,MATCH(3,M$5:M$16,0))</f>
        <v>-2</v>
      </c>
      <c r="F23" s="45">
        <f t="array" ref="F23">INDEX(K$5:K$16,MATCH(3,M$5:M$16,0))</f>
        <v>2</v>
      </c>
      <c r="G23" s="59" t="s">
        <v>205</v>
      </c>
    </row>
    <row r="24" ht="21.75" customHeight="1">
      <c r="A24" s="58">
        <v>4.0</v>
      </c>
      <c r="B24" s="27" t="str">
        <f t="array" ref="B24">INDEX(N$5:N$16,MATCH(4,M$5:M$16,0))</f>
        <v>Cabo Verde</v>
      </c>
      <c r="C24" s="44" t="str">
        <f t="array" ref="C24">INDEX(H$5:H$16,MATCH(4,M$5:M$16,0))</f>
        <v>H</v>
      </c>
      <c r="D24" s="58">
        <f t="array" ref="D24">INDEX(I$5:I$16,MATCH(4,M$5:M$16,0))</f>
        <v>2</v>
      </c>
      <c r="E24" s="45">
        <f t="array" ref="E24">INDEX(J$5:J$16,MATCH(4,M$5:M$16,0))</f>
        <v>0</v>
      </c>
      <c r="F24" s="45">
        <f t="array" ref="F24">INDEX(K$5:K$16,MATCH(4,M$5:M$16,0))</f>
        <v>2</v>
      </c>
      <c r="G24" s="59" t="s">
        <v>205</v>
      </c>
    </row>
    <row r="25" ht="21.75" customHeight="1">
      <c r="A25" s="58">
        <v>5.0</v>
      </c>
      <c r="B25" s="27" t="str">
        <f t="array" ref="B25">INDEX(N$5:N$16,MATCH(5,M$5:M$16,0))</f>
        <v>Bélgica</v>
      </c>
      <c r="C25" s="44" t="str">
        <f t="array" ref="C25">INDEX(H$5:H$16,MATCH(5,M$5:M$16,0))</f>
        <v>G</v>
      </c>
      <c r="D25" s="58">
        <f t="array" ref="D25">INDEX(I$5:I$16,MATCH(5,M$5:M$16,0))</f>
        <v>2</v>
      </c>
      <c r="E25" s="45">
        <f t="array" ref="E25">INDEX(J$5:J$16,MATCH(5,M$5:M$16,0))</f>
        <v>0</v>
      </c>
      <c r="F25" s="45">
        <f t="array" ref="F25">INDEX(K$5:K$16,MATCH(5,M$5:M$16,0))</f>
        <v>1</v>
      </c>
      <c r="G25" s="59" t="s">
        <v>205</v>
      </c>
    </row>
    <row r="26" ht="21.75" customHeight="1">
      <c r="A26" s="58">
        <v>6.0</v>
      </c>
      <c r="B26" s="27" t="str">
        <f t="array" ref="B26">INDEX(N$5:N$16,MATCH(6,M$5:M$16,0))</f>
        <v>RD Congo</v>
      </c>
      <c r="C26" s="44" t="str">
        <f t="array" ref="C26">INDEX(H$5:H$16,MATCH(6,M$5:M$16,0))</f>
        <v>K</v>
      </c>
      <c r="D26" s="58">
        <f t="array" ref="D26">INDEX(I$5:I$16,MATCH(6,M$5:M$16,0))</f>
        <v>1</v>
      </c>
      <c r="E26" s="45">
        <f t="array" ref="E26">INDEX(J$5:J$16,MATCH(6,M$5:M$16,0))</f>
        <v>0</v>
      </c>
      <c r="F26" s="45">
        <f t="array" ref="F26">INDEX(K$5:K$16,MATCH(6,M$5:M$16,0))</f>
        <v>1</v>
      </c>
      <c r="G26" s="59" t="s">
        <v>205</v>
      </c>
    </row>
    <row r="27" ht="21.75" customHeight="1">
      <c r="A27" s="58">
        <v>7.0</v>
      </c>
      <c r="B27" s="27" t="str">
        <f t="array" ref="B27">INDEX(N$5:N$16,MATCH(7,M$5:M$16,0))</f>
        <v>República Tcheca</v>
      </c>
      <c r="C27" s="44" t="str">
        <f t="array" ref="C27">INDEX(H$5:H$16,MATCH(7,M$5:M$16,0))</f>
        <v>A</v>
      </c>
      <c r="D27" s="58">
        <f t="array" ref="D27">INDEX(I$5:I$16,MATCH(7,M$5:M$16,0))</f>
        <v>1</v>
      </c>
      <c r="E27" s="45">
        <f t="array" ref="E27">INDEX(J$5:J$16,MATCH(7,M$5:M$16,0))</f>
        <v>-1</v>
      </c>
      <c r="F27" s="45">
        <f t="array" ref="F27">INDEX(K$5:K$16,MATCH(7,M$5:M$16,0))</f>
        <v>2</v>
      </c>
      <c r="G27" s="59" t="s">
        <v>205</v>
      </c>
    </row>
    <row r="28" ht="21.75" customHeight="1">
      <c r="A28" s="58">
        <v>8.0</v>
      </c>
      <c r="B28" s="27" t="str">
        <f t="array" ref="B28">INDEX(N$5:N$16,MATCH(8,M$5:M$16,0))</f>
        <v>Equador</v>
      </c>
      <c r="C28" s="44" t="str">
        <f t="array" ref="C28">INDEX(H$5:H$16,MATCH(8,M$5:M$16,0))</f>
        <v>E</v>
      </c>
      <c r="D28" s="58">
        <f t="array" ref="D28">INDEX(I$5:I$16,MATCH(8,M$5:M$16,0))</f>
        <v>1</v>
      </c>
      <c r="E28" s="45">
        <f t="array" ref="E28">INDEX(J$5:J$16,MATCH(8,M$5:M$16,0))</f>
        <v>-1</v>
      </c>
      <c r="F28" s="45">
        <f t="array" ref="F28">INDEX(K$5:K$16,MATCH(8,M$5:M$16,0))</f>
        <v>0</v>
      </c>
      <c r="G28" s="59" t="s">
        <v>205</v>
      </c>
    </row>
    <row r="29" ht="21.75" customHeight="1">
      <c r="A29" s="60">
        <v>9.0</v>
      </c>
      <c r="B29" s="27" t="str">
        <f t="array" ref="B29">INDEX(N$5:N$16,MATCH(9,M$5:M$16,0))</f>
        <v>Bósnia-Herzegovina</v>
      </c>
      <c r="C29" s="44" t="str">
        <f t="array" ref="C29">INDEX(H$5:H$16,MATCH(9,M$5:M$16,0))</f>
        <v>B</v>
      </c>
      <c r="D29" s="60">
        <f t="array" ref="D29">INDEX(I$5:I$16,MATCH(9,M$5:M$16,0))</f>
        <v>1</v>
      </c>
      <c r="E29" s="45">
        <f t="array" ref="E29">INDEX(J$5:J$16,MATCH(9,M$5:M$16,0))</f>
        <v>-3</v>
      </c>
      <c r="F29" s="45">
        <f t="array" ref="F29">INDEX(K$5:K$16,MATCH(9,M$5:M$16,0))</f>
        <v>2</v>
      </c>
      <c r="G29" s="61" t="s">
        <v>206</v>
      </c>
    </row>
    <row r="30" ht="21.75" customHeight="1">
      <c r="A30" s="60">
        <v>10.0</v>
      </c>
      <c r="B30" s="27" t="str">
        <f t="array" ref="B30">INDEX(N$5:N$16,MATCH(10,M$5:M$16,0))</f>
        <v>Panamá</v>
      </c>
      <c r="C30" s="44" t="str">
        <f t="array" ref="C30">INDEX(H$5:H$16,MATCH(10,M$5:M$16,0))</f>
        <v>L</v>
      </c>
      <c r="D30" s="60">
        <f t="array" ref="D30">INDEX(I$5:I$16,MATCH(10,M$5:M$16,0))</f>
        <v>0</v>
      </c>
      <c r="E30" s="45">
        <f t="array" ref="E30">INDEX(J$5:J$16,MATCH(10,M$5:M$16,0))</f>
        <v>-1</v>
      </c>
      <c r="F30" s="45">
        <f t="array" ref="F30">INDEX(K$5:K$16,MATCH(10,M$5:M$16,0))</f>
        <v>0</v>
      </c>
      <c r="G30" s="61" t="s">
        <v>206</v>
      </c>
    </row>
    <row r="31" ht="21.75" customHeight="1">
      <c r="A31" s="60">
        <v>11.0</v>
      </c>
      <c r="B31" s="27" t="str">
        <f t="array" ref="B31">INDEX(N$5:N$16,MATCH(11,M$5:M$16,0))</f>
        <v>Senegal</v>
      </c>
      <c r="C31" s="44" t="str">
        <f t="array" ref="C31">INDEX(H$5:H$16,MATCH(11,M$5:M$16,0))</f>
        <v>I</v>
      </c>
      <c r="D31" s="60">
        <f t="array" ref="D31">INDEX(I$5:I$16,MATCH(11,M$5:M$16,0))</f>
        <v>0</v>
      </c>
      <c r="E31" s="45">
        <f t="array" ref="E31">INDEX(J$5:J$16,MATCH(11,M$5:M$16,0))</f>
        <v>-2</v>
      </c>
      <c r="F31" s="45">
        <f t="array" ref="F31">INDEX(K$5:K$16,MATCH(11,M$5:M$16,0))</f>
        <v>1</v>
      </c>
      <c r="G31" s="61" t="s">
        <v>206</v>
      </c>
    </row>
    <row r="32" ht="21.75" customHeight="1">
      <c r="A32" s="60">
        <v>12.0</v>
      </c>
      <c r="B32" s="27" t="str">
        <f t="array" ref="B32">INDEX(N$5:N$16,MATCH(12,M$5:M$16,0))</f>
        <v>Jordânia</v>
      </c>
      <c r="C32" s="44" t="str">
        <f t="array" ref="C32">INDEX(H$5:H$16,MATCH(12,M$5:M$16,0))</f>
        <v>J</v>
      </c>
      <c r="D32" s="60">
        <f t="array" ref="D32">INDEX(I$5:I$16,MATCH(12,M$5:M$16,0))</f>
        <v>0</v>
      </c>
      <c r="E32" s="45">
        <f t="array" ref="E32">INDEX(J$5:J$16,MATCH(12,M$5:M$16,0))</f>
        <v>-2</v>
      </c>
      <c r="F32" s="45">
        <f t="array" ref="F32">INDEX(K$5:K$16,MATCH(12,M$5:M$16,0))</f>
        <v>1</v>
      </c>
      <c r="G32" s="61" t="s">
        <v>206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3:G3"/>
    <mergeCell ref="A19:G19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9.71"/>
    <col customWidth="1" min="3" max="3" width="20.0"/>
    <col customWidth="1" min="4" max="4" width="2.0"/>
    <col customWidth="1" min="5" max="5" width="5.0"/>
    <col customWidth="1" min="6" max="6" width="2.0"/>
    <col customWidth="1" min="7" max="7" width="5.0"/>
    <col customWidth="1" min="8" max="8" width="2.0"/>
    <col customWidth="1" min="9" max="9" width="20.0"/>
    <col customWidth="1" min="10" max="10" width="3.0"/>
    <col customWidth="1" min="11" max="11" width="5.0"/>
    <col customWidth="1" min="12" max="12" width="2.0"/>
    <col customWidth="1" min="13" max="13" width="5.0"/>
    <col customWidth="1" min="14" max="14" width="3.0"/>
    <col customWidth="1" min="15" max="16" width="4.0"/>
    <col customWidth="1" min="17" max="17" width="26.71"/>
    <col customWidth="1" min="18" max="18" width="18.86"/>
    <col customWidth="1" min="19" max="26" width="8.71"/>
  </cols>
  <sheetData>
    <row r="1" ht="31.5" customHeight="1">
      <c r="A1" s="62"/>
      <c r="B1" s="14" t="s">
        <v>207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2"/>
      <c r="R1" s="62"/>
    </row>
    <row r="2" ht="7.5" customHeight="1">
      <c r="B2" s="16" t="s">
        <v>2</v>
      </c>
    </row>
    <row r="3" ht="21.75" customHeight="1">
      <c r="A3" s="63"/>
      <c r="B3" s="64" t="s">
        <v>208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2"/>
      <c r="R3" s="63"/>
      <c r="S3" s="65"/>
    </row>
    <row r="4" ht="15.75" customHeight="1">
      <c r="A4" s="66" t="s">
        <v>209</v>
      </c>
      <c r="B4" s="66" t="s">
        <v>210</v>
      </c>
      <c r="C4" s="66" t="s">
        <v>211</v>
      </c>
      <c r="E4" s="66" t="s">
        <v>212</v>
      </c>
      <c r="G4" s="66" t="s">
        <v>212</v>
      </c>
      <c r="I4" s="66" t="s">
        <v>213</v>
      </c>
      <c r="K4" s="66" t="s">
        <v>214</v>
      </c>
      <c r="M4" s="66" t="s">
        <v>214</v>
      </c>
      <c r="O4" s="66" t="s">
        <v>215</v>
      </c>
      <c r="P4" s="66" t="s">
        <v>215</v>
      </c>
      <c r="Q4" s="66" t="s">
        <v>216</v>
      </c>
      <c r="R4" s="66" t="s">
        <v>37</v>
      </c>
    </row>
    <row r="5" ht="24.0" customHeight="1">
      <c r="A5" s="53"/>
      <c r="B5" s="53" t="s">
        <v>217</v>
      </c>
      <c r="C5" s="23" t="str">
        <f t="array" ref="C5">IF(COUNTA('Gr-E'!D5:D10)=6,INDEX('Gr-E'!Q$14:Q$17,MATCH(1,'Gr-E'!AA$14:AA$17,0)),"1º Gr-E")</f>
        <v>1º Gr-E</v>
      </c>
      <c r="D5" s="43"/>
      <c r="E5" s="25"/>
      <c r="F5" s="26" t="s">
        <v>39</v>
      </c>
      <c r="G5" s="25"/>
      <c r="H5" s="43"/>
      <c r="I5" s="27" t="str">
        <f t="array" ref="I5">IF(Respecagem!P1=72,INDEX(Respecagem!N$5:N$16,MATCH(1,Respecagem!M$5:M$16,0)),"Melhor 3º #1")</f>
        <v>Melhor 3º #1</v>
      </c>
      <c r="J5" s="53" t="s">
        <v>218</v>
      </c>
      <c r="K5" s="67"/>
      <c r="L5" s="68" t="s">
        <v>39</v>
      </c>
      <c r="M5" s="67"/>
      <c r="N5" s="53" t="s">
        <v>218</v>
      </c>
      <c r="O5" s="69"/>
      <c r="P5" s="69"/>
      <c r="Q5" s="70" t="str">
        <f t="shared" ref="Q5:Q20" si="1">IF(OR(E5="",G5=""),"",IF(E5&gt;G5,C5,IF(E5&lt;G5,I5,IF(AND(K5&lt;&gt;"",M5&lt;&gt;""),IF(K5&gt;M5,C5,IF(K5&lt;M5,I5,IF(AND(O5&lt;&gt;"",P5&lt;&gt;""),IF(O5&gt;=P5,C5,I5),"Pênaltis pendentes"))),"Prorrogação pendente"))))</f>
        <v/>
      </c>
      <c r="R5" s="53"/>
    </row>
    <row r="6" ht="24.0" customHeight="1">
      <c r="A6" s="54"/>
      <c r="B6" s="54" t="s">
        <v>219</v>
      </c>
      <c r="C6" s="33" t="str">
        <f t="array" ref="C6">IF(COUNTA('Gr-I'!D5:D10)=6,INDEX('Gr-I'!Q$14:Q$17,MATCH(1,'Gr-I'!AA$14:AA$17,0)),"1º Gr-I")</f>
        <v>1º Gr-I</v>
      </c>
      <c r="D6" s="71"/>
      <c r="E6" s="25"/>
      <c r="F6" s="35" t="s">
        <v>39</v>
      </c>
      <c r="G6" s="25"/>
      <c r="H6" s="71"/>
      <c r="I6" s="36" t="str">
        <f t="array" ref="I6">IF(Respecagem!P1=72,INDEX(Respecagem!N$5:N$16,MATCH(2,Respecagem!M$5:M$16,0)),"Melhor 3º #2")</f>
        <v>Melhor 3º #2</v>
      </c>
      <c r="J6" s="54" t="s">
        <v>218</v>
      </c>
      <c r="K6" s="67"/>
      <c r="L6" s="68" t="s">
        <v>39</v>
      </c>
      <c r="M6" s="67"/>
      <c r="N6" s="54" t="s">
        <v>218</v>
      </c>
      <c r="O6" s="69"/>
      <c r="P6" s="69"/>
      <c r="Q6" s="70" t="str">
        <f t="shared" si="1"/>
        <v/>
      </c>
      <c r="R6" s="54"/>
    </row>
    <row r="7" ht="24.0" customHeight="1">
      <c r="A7" s="53"/>
      <c r="B7" s="53" t="s">
        <v>220</v>
      </c>
      <c r="C7" s="23" t="str">
        <f t="array" ref="C7">IF(COUNTA('Gr-A'!D5:D10)=6,INDEX('Gr-A'!Q$14:Q$17,MATCH(2,'Gr-A'!AA$14:AA$17,0)),"2º Gr-A")</f>
        <v>2º Gr-A</v>
      </c>
      <c r="D7" s="43"/>
      <c r="E7" s="25"/>
      <c r="F7" s="26" t="s">
        <v>39</v>
      </c>
      <c r="G7" s="25"/>
      <c r="H7" s="43"/>
      <c r="I7" s="27" t="str">
        <f t="array" ref="I7">IF(COUNTA('Gr-B'!D5:D10)=6,INDEX('Gr-B'!Q$14:Q$17,MATCH(2,'Gr-B'!AA$14:AA$17,0)),"2º Gr-B")</f>
        <v>2º Gr-B</v>
      </c>
      <c r="J7" s="53" t="s">
        <v>218</v>
      </c>
      <c r="K7" s="67"/>
      <c r="L7" s="68" t="s">
        <v>39</v>
      </c>
      <c r="M7" s="67"/>
      <c r="N7" s="53" t="s">
        <v>218</v>
      </c>
      <c r="O7" s="69"/>
      <c r="P7" s="69"/>
      <c r="Q7" s="70" t="str">
        <f t="shared" si="1"/>
        <v/>
      </c>
      <c r="R7" s="53"/>
    </row>
    <row r="8" ht="24.0" customHeight="1">
      <c r="A8" s="54"/>
      <c r="B8" s="54" t="s">
        <v>221</v>
      </c>
      <c r="C8" s="33" t="str">
        <f t="array" ref="C8">IF(COUNTA('Gr-F'!D5:D10)=6,INDEX('Gr-F'!Q$14:Q$17,MATCH(1,'Gr-F'!AA$14:AA$17,0)),"1º Gr-F")</f>
        <v>1º Gr-F</v>
      </c>
      <c r="D8" s="71"/>
      <c r="E8" s="25"/>
      <c r="F8" s="35" t="s">
        <v>39</v>
      </c>
      <c r="G8" s="25"/>
      <c r="H8" s="71"/>
      <c r="I8" s="36" t="str">
        <f t="array" ref="I8">IF(COUNTA('Gr-C'!D5:D10)=6,INDEX('Gr-C'!Q$14:Q$17,MATCH(2,'Gr-C'!AA$14:AA$17,0)),"2º Gr-C")</f>
        <v>2º Gr-C</v>
      </c>
      <c r="J8" s="54" t="s">
        <v>218</v>
      </c>
      <c r="K8" s="67"/>
      <c r="L8" s="68" t="s">
        <v>39</v>
      </c>
      <c r="M8" s="67"/>
      <c r="N8" s="54" t="s">
        <v>218</v>
      </c>
      <c r="O8" s="69"/>
      <c r="P8" s="69"/>
      <c r="Q8" s="70" t="str">
        <f t="shared" si="1"/>
        <v/>
      </c>
      <c r="R8" s="54"/>
    </row>
    <row r="9" ht="24.0" customHeight="1">
      <c r="A9" s="53"/>
      <c r="B9" s="53" t="s">
        <v>222</v>
      </c>
      <c r="C9" s="23" t="str">
        <f t="array" ref="C9">IF(COUNTA('Gr-K'!D5:D10)=6,INDEX('Gr-K'!Q$14:Q$17,MATCH(2,'Gr-K'!AA$14:AA$17,0)),"2º Gr-K")</f>
        <v>2º Gr-K</v>
      </c>
      <c r="D9" s="43"/>
      <c r="E9" s="25"/>
      <c r="F9" s="26" t="s">
        <v>39</v>
      </c>
      <c r="G9" s="25"/>
      <c r="H9" s="43"/>
      <c r="I9" s="27" t="str">
        <f t="array" ref="I9">IF(COUNTA('Gr-L'!D5:D10)=6,INDEX('Gr-L'!Q$14:Q$17,MATCH(2,'Gr-L'!AA$14:AA$17,0)),"2º Gr-L")</f>
        <v>2º Gr-L</v>
      </c>
      <c r="J9" s="53" t="s">
        <v>218</v>
      </c>
      <c r="K9" s="67"/>
      <c r="L9" s="68" t="s">
        <v>39</v>
      </c>
      <c r="M9" s="67"/>
      <c r="N9" s="53" t="s">
        <v>218</v>
      </c>
      <c r="O9" s="69"/>
      <c r="P9" s="69"/>
      <c r="Q9" s="70" t="str">
        <f t="shared" si="1"/>
        <v/>
      </c>
      <c r="R9" s="53"/>
    </row>
    <row r="10" ht="24.0" customHeight="1">
      <c r="A10" s="54"/>
      <c r="B10" s="54" t="s">
        <v>223</v>
      </c>
      <c r="C10" s="33" t="str">
        <f t="array" ref="C10">IF(COUNTA('Gr-H'!D5:D10)=6,INDEX('Gr-H'!Q$14:Q$17,MATCH(1,'Gr-H'!AA$14:AA$17,0)),"1º Gr-H")</f>
        <v>1º Gr-H</v>
      </c>
      <c r="D10" s="71"/>
      <c r="E10" s="25"/>
      <c r="F10" s="35" t="s">
        <v>39</v>
      </c>
      <c r="G10" s="25"/>
      <c r="H10" s="71"/>
      <c r="I10" s="36" t="str">
        <f t="array" ref="I10">IF(COUNTA('Gr-J'!D5:D10)=6,INDEX('Gr-J'!Q$14:Q$17,MATCH(2,'Gr-J'!AA$14:AA$17,0)),"2º Gr-J")</f>
        <v>2º Gr-J</v>
      </c>
      <c r="J10" s="54" t="s">
        <v>218</v>
      </c>
      <c r="K10" s="67"/>
      <c r="L10" s="68" t="s">
        <v>39</v>
      </c>
      <c r="M10" s="67"/>
      <c r="N10" s="54" t="s">
        <v>218</v>
      </c>
      <c r="O10" s="69"/>
      <c r="P10" s="69"/>
      <c r="Q10" s="70" t="str">
        <f t="shared" si="1"/>
        <v/>
      </c>
      <c r="R10" s="54"/>
    </row>
    <row r="11" ht="24.0" customHeight="1">
      <c r="A11" s="53"/>
      <c r="B11" s="53" t="s">
        <v>224</v>
      </c>
      <c r="C11" s="23" t="str">
        <f t="array" ref="C11">IF(COUNTA('Gr-D'!D5:D10)=6,INDEX('Gr-D'!Q$14:Q$17,MATCH(1,'Gr-D'!AA$14:AA$17,0)),"1º Gr-D")</f>
        <v>1º Gr-D</v>
      </c>
      <c r="D11" s="43"/>
      <c r="E11" s="25"/>
      <c r="F11" s="26" t="s">
        <v>39</v>
      </c>
      <c r="G11" s="25"/>
      <c r="H11" s="43"/>
      <c r="I11" s="27" t="str">
        <f t="array" ref="I11">IF(Respecagem!P1=72,INDEX(Respecagem!N$5:N$16,MATCH(3,Respecagem!M$5:M$16,0)),"Melhor 3º #3")</f>
        <v>Melhor 3º #3</v>
      </c>
      <c r="J11" s="53" t="s">
        <v>218</v>
      </c>
      <c r="K11" s="67"/>
      <c r="L11" s="68" t="s">
        <v>39</v>
      </c>
      <c r="M11" s="67"/>
      <c r="N11" s="53" t="s">
        <v>218</v>
      </c>
      <c r="O11" s="69"/>
      <c r="P11" s="69"/>
      <c r="Q11" s="70" t="str">
        <f t="shared" si="1"/>
        <v/>
      </c>
      <c r="R11" s="53"/>
    </row>
    <row r="12" ht="24.0" customHeight="1">
      <c r="A12" s="54"/>
      <c r="B12" s="54" t="s">
        <v>225</v>
      </c>
      <c r="C12" s="33" t="str">
        <f t="array" ref="C12">IF(COUNTA('Gr-G'!D5:D10)=6,INDEX('Gr-G'!Q$14:Q$17,MATCH(1,'Gr-G'!AA$14:AA$17,0)),"1º Gr-G")</f>
        <v>1º Gr-G</v>
      </c>
      <c r="D12" s="71"/>
      <c r="E12" s="25"/>
      <c r="F12" s="35" t="s">
        <v>39</v>
      </c>
      <c r="G12" s="25"/>
      <c r="H12" s="71"/>
      <c r="I12" s="36" t="str">
        <f t="array" ref="I12">IF(Respecagem!P1=72,INDEX(Respecagem!N$5:N$16,MATCH(4,Respecagem!M$5:M$16,0)),"Melhor 3º #4")</f>
        <v>Melhor 3º #4</v>
      </c>
      <c r="J12" s="54" t="s">
        <v>218</v>
      </c>
      <c r="K12" s="67"/>
      <c r="L12" s="68" t="s">
        <v>39</v>
      </c>
      <c r="M12" s="67"/>
      <c r="N12" s="54" t="s">
        <v>218</v>
      </c>
      <c r="O12" s="69"/>
      <c r="P12" s="69"/>
      <c r="Q12" s="70" t="str">
        <f t="shared" si="1"/>
        <v/>
      </c>
      <c r="R12" s="54"/>
    </row>
    <row r="13" ht="24.0" customHeight="1">
      <c r="A13" s="53"/>
      <c r="B13" s="53" t="s">
        <v>226</v>
      </c>
      <c r="C13" s="23" t="str">
        <f t="array" ref="C13">IF(COUNTA('Gr-F'!D5:D10)=6,INDEX('Gr-F'!Q$14:Q$17,MATCH(2,'Gr-F'!AA$14:AA$17,0)),"2º Gr-F")</f>
        <v>2º Gr-F</v>
      </c>
      <c r="D13" s="43"/>
      <c r="E13" s="25"/>
      <c r="F13" s="26" t="s">
        <v>39</v>
      </c>
      <c r="G13" s="25"/>
      <c r="H13" s="43"/>
      <c r="I13" s="27" t="str">
        <f t="array" ref="I13">IF(COUNTA('Gr-E'!D5:D10)=6,INDEX('Gr-E'!Q$14:Q$17,MATCH(2,'Gr-E'!AA$14:AA$17,0)),"2º Gr-E")</f>
        <v>2º Gr-E</v>
      </c>
      <c r="J13" s="53" t="s">
        <v>218</v>
      </c>
      <c r="K13" s="67"/>
      <c r="L13" s="68" t="s">
        <v>39</v>
      </c>
      <c r="M13" s="67"/>
      <c r="N13" s="53" t="s">
        <v>218</v>
      </c>
      <c r="O13" s="69"/>
      <c r="P13" s="69"/>
      <c r="Q13" s="70" t="str">
        <f t="shared" si="1"/>
        <v/>
      </c>
      <c r="R13" s="53"/>
    </row>
    <row r="14" ht="24.0" customHeight="1">
      <c r="A14" s="54"/>
      <c r="B14" s="54" t="s">
        <v>227</v>
      </c>
      <c r="C14" s="33" t="str">
        <f t="array" ref="C14">IF(COUNTA('Gr-I'!D5:D10)=6,INDEX('Gr-I'!Q$14:Q$17,MATCH(2,'Gr-I'!AA$14:AA$17,0)),"2º Gr-I")</f>
        <v>2º Gr-I</v>
      </c>
      <c r="D14" s="71"/>
      <c r="E14" s="25"/>
      <c r="F14" s="35" t="s">
        <v>39</v>
      </c>
      <c r="G14" s="25"/>
      <c r="H14" s="71"/>
      <c r="I14" s="36" t="str">
        <f t="array" ref="I14">IF(COUNTA('Gr-C'!D5:D10)=6,INDEX('Gr-C'!Q$14:Q$17,MATCH(1,'Gr-C'!AA$14:AA$17,0)),"1º Gr-C")</f>
        <v>1º Gr-C</v>
      </c>
      <c r="J14" s="54" t="s">
        <v>218</v>
      </c>
      <c r="K14" s="67"/>
      <c r="L14" s="68" t="s">
        <v>39</v>
      </c>
      <c r="M14" s="67"/>
      <c r="N14" s="54" t="s">
        <v>218</v>
      </c>
      <c r="O14" s="69"/>
      <c r="P14" s="69"/>
      <c r="Q14" s="70" t="str">
        <f t="shared" si="1"/>
        <v/>
      </c>
      <c r="R14" s="54"/>
    </row>
    <row r="15" ht="24.0" customHeight="1">
      <c r="A15" s="53"/>
      <c r="B15" s="53" t="s">
        <v>228</v>
      </c>
      <c r="C15" s="23" t="str">
        <f t="array" ref="C15">IF(COUNTA('Gr-A'!D5:D10)=6,INDEX('Gr-A'!Q$14:Q$17,MATCH(1,'Gr-A'!AA$14:AA$17,0)),"1º Gr-A")</f>
        <v>1º Gr-A</v>
      </c>
      <c r="D15" s="43"/>
      <c r="E15" s="25"/>
      <c r="F15" s="26" t="s">
        <v>39</v>
      </c>
      <c r="G15" s="25"/>
      <c r="H15" s="43"/>
      <c r="I15" s="27" t="str">
        <f t="array" ref="I15">IF(Respecagem!P1=72,INDEX(Respecagem!N$5:N$16,MATCH(5,Respecagem!M$5:M$16,0)),"Melhor 3º #5")</f>
        <v>Melhor 3º #5</v>
      </c>
      <c r="J15" s="53" t="s">
        <v>218</v>
      </c>
      <c r="K15" s="67"/>
      <c r="L15" s="68" t="s">
        <v>39</v>
      </c>
      <c r="M15" s="67"/>
      <c r="N15" s="53" t="s">
        <v>218</v>
      </c>
      <c r="O15" s="69"/>
      <c r="P15" s="69"/>
      <c r="Q15" s="70" t="str">
        <f t="shared" si="1"/>
        <v/>
      </c>
      <c r="R15" s="53"/>
    </row>
    <row r="16" ht="24.0" customHeight="1">
      <c r="A16" s="54"/>
      <c r="B16" s="54" t="s">
        <v>229</v>
      </c>
      <c r="C16" s="33" t="str">
        <f t="array" ref="C16">IF(COUNTA('Gr-L'!D5:D10)=6,INDEX('Gr-L'!Q$14:Q$17,MATCH(1,'Gr-L'!AA$14:AA$17,0)),"1º Gr-L")</f>
        <v>1º Gr-L</v>
      </c>
      <c r="D16" s="71"/>
      <c r="E16" s="25"/>
      <c r="F16" s="35" t="s">
        <v>39</v>
      </c>
      <c r="G16" s="25"/>
      <c r="H16" s="71"/>
      <c r="I16" s="36" t="str">
        <f t="array" ref="I16">IF(Respecagem!P1=72,INDEX(Respecagem!N$5:N$16,MATCH(6,Respecagem!M$5:M$16,0)),"Melhor 3º #6")</f>
        <v>Melhor 3º #6</v>
      </c>
      <c r="J16" s="54" t="s">
        <v>218</v>
      </c>
      <c r="K16" s="67"/>
      <c r="L16" s="68" t="s">
        <v>39</v>
      </c>
      <c r="M16" s="67"/>
      <c r="N16" s="54" t="s">
        <v>218</v>
      </c>
      <c r="O16" s="69"/>
      <c r="P16" s="69"/>
      <c r="Q16" s="70" t="str">
        <f t="shared" si="1"/>
        <v/>
      </c>
      <c r="R16" s="54"/>
    </row>
    <row r="17" ht="24.0" customHeight="1">
      <c r="A17" s="53"/>
      <c r="B17" s="53" t="s">
        <v>230</v>
      </c>
      <c r="C17" s="23" t="str">
        <f t="array" ref="C17">IF(COUNTA('Gr-J'!D5:D10)=6,INDEX('Gr-J'!Q$14:Q$17,MATCH(1,'Gr-J'!AA$14:AA$17,0)),"1º Gr-J")</f>
        <v>1º Gr-J</v>
      </c>
      <c r="D17" s="43"/>
      <c r="E17" s="25"/>
      <c r="F17" s="26" t="s">
        <v>39</v>
      </c>
      <c r="G17" s="25"/>
      <c r="H17" s="43"/>
      <c r="I17" s="27" t="str">
        <f t="array" ref="I17">IF(COUNTA('Gr-H'!D5:D10)=6,INDEX('Gr-H'!Q$14:Q$17,MATCH(2,'Gr-H'!AA$14:AA$17,0)),"2º Gr-H")</f>
        <v>2º Gr-H</v>
      </c>
      <c r="J17" s="53" t="s">
        <v>218</v>
      </c>
      <c r="K17" s="67"/>
      <c r="L17" s="68" t="s">
        <v>39</v>
      </c>
      <c r="M17" s="67"/>
      <c r="N17" s="53" t="s">
        <v>218</v>
      </c>
      <c r="O17" s="69"/>
      <c r="P17" s="69"/>
      <c r="Q17" s="70" t="str">
        <f t="shared" si="1"/>
        <v/>
      </c>
      <c r="R17" s="53"/>
    </row>
    <row r="18" ht="24.0" customHeight="1">
      <c r="A18" s="54"/>
      <c r="B18" s="54" t="s">
        <v>231</v>
      </c>
      <c r="C18" s="33" t="str">
        <f t="array" ref="C18">IF(COUNTA('Gr-D'!D5:D10)=6,INDEX('Gr-D'!Q$14:Q$17,MATCH(2,'Gr-D'!AA$14:AA$17,0)),"2º Gr-D")</f>
        <v>2º Gr-D</v>
      </c>
      <c r="D18" s="71"/>
      <c r="E18" s="25"/>
      <c r="F18" s="35" t="s">
        <v>39</v>
      </c>
      <c r="G18" s="25"/>
      <c r="H18" s="71"/>
      <c r="I18" s="36" t="str">
        <f t="array" ref="I18">IF(COUNTA('Gr-G'!D5:D10)=6,INDEX('Gr-G'!Q$14:Q$17,MATCH(2,'Gr-G'!AA$14:AA$17,0)),"2º Gr-G")</f>
        <v>2º Gr-G</v>
      </c>
      <c r="J18" s="54" t="s">
        <v>218</v>
      </c>
      <c r="K18" s="67"/>
      <c r="L18" s="68" t="s">
        <v>39</v>
      </c>
      <c r="M18" s="67"/>
      <c r="N18" s="54" t="s">
        <v>218</v>
      </c>
      <c r="O18" s="69"/>
      <c r="P18" s="69"/>
      <c r="Q18" s="70" t="str">
        <f t="shared" si="1"/>
        <v/>
      </c>
      <c r="R18" s="54"/>
    </row>
    <row r="19" ht="24.0" customHeight="1">
      <c r="A19" s="53"/>
      <c r="B19" s="53" t="s">
        <v>232</v>
      </c>
      <c r="C19" s="23" t="str">
        <f t="array" ref="C19">IF(COUNTA('Gr-B'!D5:D10)=6,INDEX('Gr-B'!Q$14:Q$17,MATCH(1,'Gr-B'!AA$14:AA$17,0)),"1º Gr-B")</f>
        <v>1º Gr-B</v>
      </c>
      <c r="D19" s="43"/>
      <c r="E19" s="25"/>
      <c r="F19" s="26" t="s">
        <v>39</v>
      </c>
      <c r="G19" s="25"/>
      <c r="H19" s="43"/>
      <c r="I19" s="27" t="str">
        <f t="array" ref="I19">IF(Respecagem!P1=72,INDEX(Respecagem!N$5:N$16,MATCH(7,Respecagem!M$5:M$16,0)),"Melhor 3º #7")</f>
        <v>Melhor 3º #7</v>
      </c>
      <c r="J19" s="53" t="s">
        <v>218</v>
      </c>
      <c r="K19" s="67"/>
      <c r="L19" s="68" t="s">
        <v>39</v>
      </c>
      <c r="M19" s="67"/>
      <c r="N19" s="53" t="s">
        <v>218</v>
      </c>
      <c r="O19" s="69"/>
      <c r="P19" s="69"/>
      <c r="Q19" s="70" t="str">
        <f t="shared" si="1"/>
        <v/>
      </c>
      <c r="R19" s="53"/>
    </row>
    <row r="20" ht="24.0" customHeight="1">
      <c r="A20" s="54"/>
      <c r="B20" s="54" t="s">
        <v>233</v>
      </c>
      <c r="C20" s="33" t="str">
        <f t="array" ref="C20">IF(COUNTA('Gr-K'!D5:D10)=6,INDEX('Gr-K'!Q$14:Q$17,MATCH(1,'Gr-K'!AA$14:AA$17,0)),"1º Gr-K")</f>
        <v>1º Gr-K</v>
      </c>
      <c r="D20" s="71"/>
      <c r="E20" s="25"/>
      <c r="F20" s="35" t="s">
        <v>39</v>
      </c>
      <c r="G20" s="25"/>
      <c r="H20" s="71"/>
      <c r="I20" s="36" t="str">
        <f t="array" ref="I20">IF(Respecagem!P1=72,INDEX(Respecagem!N$5:N$16,MATCH(8,Respecagem!M$5:M$16,0)),"Melhor 3º #8")</f>
        <v>Melhor 3º #8</v>
      </c>
      <c r="J20" s="54" t="s">
        <v>218</v>
      </c>
      <c r="K20" s="67"/>
      <c r="L20" s="68" t="s">
        <v>39</v>
      </c>
      <c r="M20" s="67"/>
      <c r="N20" s="54" t="s">
        <v>218</v>
      </c>
      <c r="O20" s="69"/>
      <c r="P20" s="69"/>
      <c r="Q20" s="70" t="str">
        <f t="shared" si="1"/>
        <v/>
      </c>
      <c r="R20" s="54"/>
    </row>
    <row r="21" ht="13.5" customHeight="1">
      <c r="B21" s="72" t="s">
        <v>234</v>
      </c>
    </row>
    <row r="22" ht="13.5" customHeight="1"/>
    <row r="23" ht="21.75" customHeight="1">
      <c r="A23" s="63"/>
      <c r="B23" s="64" t="s">
        <v>235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2"/>
      <c r="R23" s="63"/>
    </row>
    <row r="24" ht="15.75" customHeight="1">
      <c r="A24" s="66" t="s">
        <v>209</v>
      </c>
      <c r="B24" s="66" t="s">
        <v>210</v>
      </c>
      <c r="C24" s="66" t="s">
        <v>211</v>
      </c>
      <c r="E24" s="66" t="s">
        <v>212</v>
      </c>
      <c r="G24" s="66" t="s">
        <v>212</v>
      </c>
      <c r="I24" s="66" t="s">
        <v>213</v>
      </c>
      <c r="K24" s="66" t="s">
        <v>214</v>
      </c>
      <c r="M24" s="66" t="s">
        <v>214</v>
      </c>
      <c r="O24" s="66" t="s">
        <v>215</v>
      </c>
      <c r="P24" s="66" t="s">
        <v>215</v>
      </c>
      <c r="Q24" s="66" t="s">
        <v>216</v>
      </c>
      <c r="R24" s="66" t="s">
        <v>37</v>
      </c>
    </row>
    <row r="25" ht="24.0" customHeight="1">
      <c r="A25" s="53"/>
      <c r="B25" s="53" t="s">
        <v>236</v>
      </c>
      <c r="C25" s="23" t="str">
        <f>Q5</f>
        <v/>
      </c>
      <c r="D25" s="43"/>
      <c r="E25" s="25"/>
      <c r="F25" s="26" t="s">
        <v>39</v>
      </c>
      <c r="G25" s="25"/>
      <c r="H25" s="43"/>
      <c r="I25" s="27" t="str">
        <f>Q6</f>
        <v/>
      </c>
      <c r="J25" s="53" t="s">
        <v>218</v>
      </c>
      <c r="K25" s="67"/>
      <c r="L25" s="68" t="s">
        <v>39</v>
      </c>
      <c r="M25" s="67"/>
      <c r="N25" s="53" t="s">
        <v>218</v>
      </c>
      <c r="O25" s="69"/>
      <c r="P25" s="69"/>
      <c r="Q25" s="70" t="str">
        <f t="shared" ref="Q25:Q32" si="2">IF(OR(E25="",G25=""),"",IF(E25&gt;G25,C25,IF(E25&lt;G25,I25,IF(AND(K25&lt;&gt;"",M25&lt;&gt;""),IF(K25&gt;M25,C25,IF(K25&lt;M25,I25,IF(AND(O25&lt;&gt;"",P25&lt;&gt;""),IF(O25&gt;=P25,C25,I25),"Pênaltis pendentes"))),"Prorrogação pendente"))))</f>
        <v/>
      </c>
      <c r="R25" s="53"/>
    </row>
    <row r="26" ht="24.0" customHeight="1">
      <c r="A26" s="54"/>
      <c r="B26" s="54" t="s">
        <v>237</v>
      </c>
      <c r="C26" s="33" t="str">
        <f>Q7</f>
        <v/>
      </c>
      <c r="D26" s="71"/>
      <c r="E26" s="25"/>
      <c r="F26" s="35" t="s">
        <v>39</v>
      </c>
      <c r="G26" s="25"/>
      <c r="H26" s="71"/>
      <c r="I26" s="36" t="str">
        <f>Q8</f>
        <v/>
      </c>
      <c r="J26" s="54" t="s">
        <v>218</v>
      </c>
      <c r="K26" s="67"/>
      <c r="L26" s="68" t="s">
        <v>39</v>
      </c>
      <c r="M26" s="67"/>
      <c r="N26" s="54" t="s">
        <v>218</v>
      </c>
      <c r="O26" s="69"/>
      <c r="P26" s="69"/>
      <c r="Q26" s="70" t="str">
        <f t="shared" si="2"/>
        <v/>
      </c>
      <c r="R26" s="54"/>
    </row>
    <row r="27" ht="24.0" customHeight="1">
      <c r="A27" s="53"/>
      <c r="B27" s="53" t="s">
        <v>238</v>
      </c>
      <c r="C27" s="23" t="str">
        <f>Q9</f>
        <v/>
      </c>
      <c r="D27" s="43"/>
      <c r="E27" s="25"/>
      <c r="F27" s="26" t="s">
        <v>39</v>
      </c>
      <c r="G27" s="25"/>
      <c r="H27" s="43"/>
      <c r="I27" s="27" t="str">
        <f>Q10</f>
        <v/>
      </c>
      <c r="J27" s="53" t="s">
        <v>218</v>
      </c>
      <c r="K27" s="67"/>
      <c r="L27" s="68" t="s">
        <v>39</v>
      </c>
      <c r="M27" s="67"/>
      <c r="N27" s="53" t="s">
        <v>218</v>
      </c>
      <c r="O27" s="69"/>
      <c r="P27" s="69"/>
      <c r="Q27" s="70" t="str">
        <f t="shared" si="2"/>
        <v/>
      </c>
      <c r="R27" s="53"/>
    </row>
    <row r="28" ht="24.0" customHeight="1">
      <c r="A28" s="54"/>
      <c r="B28" s="54" t="s">
        <v>239</v>
      </c>
      <c r="C28" s="33" t="str">
        <f>Q11</f>
        <v/>
      </c>
      <c r="D28" s="71"/>
      <c r="E28" s="25"/>
      <c r="F28" s="35" t="s">
        <v>39</v>
      </c>
      <c r="G28" s="25"/>
      <c r="H28" s="71"/>
      <c r="I28" s="36" t="str">
        <f>Q12</f>
        <v/>
      </c>
      <c r="J28" s="54" t="s">
        <v>218</v>
      </c>
      <c r="K28" s="67"/>
      <c r="L28" s="68" t="s">
        <v>39</v>
      </c>
      <c r="M28" s="67"/>
      <c r="N28" s="54" t="s">
        <v>218</v>
      </c>
      <c r="O28" s="69"/>
      <c r="P28" s="69"/>
      <c r="Q28" s="70" t="str">
        <f t="shared" si="2"/>
        <v/>
      </c>
      <c r="R28" s="54"/>
    </row>
    <row r="29" ht="24.0" customHeight="1">
      <c r="A29" s="53"/>
      <c r="B29" s="53" t="s">
        <v>240</v>
      </c>
      <c r="C29" s="23" t="str">
        <f>Q13</f>
        <v/>
      </c>
      <c r="D29" s="43"/>
      <c r="E29" s="25"/>
      <c r="F29" s="26" t="s">
        <v>39</v>
      </c>
      <c r="G29" s="25"/>
      <c r="H29" s="43"/>
      <c r="I29" s="27" t="str">
        <f>Q14</f>
        <v/>
      </c>
      <c r="J29" s="53" t="s">
        <v>218</v>
      </c>
      <c r="K29" s="67"/>
      <c r="L29" s="68" t="s">
        <v>39</v>
      </c>
      <c r="M29" s="67"/>
      <c r="N29" s="53" t="s">
        <v>218</v>
      </c>
      <c r="O29" s="69"/>
      <c r="P29" s="69"/>
      <c r="Q29" s="70" t="str">
        <f t="shared" si="2"/>
        <v/>
      </c>
      <c r="R29" s="53"/>
    </row>
    <row r="30" ht="24.0" customHeight="1">
      <c r="A30" s="54"/>
      <c r="B30" s="54" t="s">
        <v>241</v>
      </c>
      <c r="C30" s="33" t="str">
        <f>Q15</f>
        <v/>
      </c>
      <c r="D30" s="71"/>
      <c r="E30" s="25"/>
      <c r="F30" s="35" t="s">
        <v>39</v>
      </c>
      <c r="G30" s="25"/>
      <c r="H30" s="71"/>
      <c r="I30" s="36" t="str">
        <f>Q16</f>
        <v/>
      </c>
      <c r="J30" s="54" t="s">
        <v>218</v>
      </c>
      <c r="K30" s="67"/>
      <c r="L30" s="68" t="s">
        <v>39</v>
      </c>
      <c r="M30" s="67"/>
      <c r="N30" s="54" t="s">
        <v>218</v>
      </c>
      <c r="O30" s="69"/>
      <c r="P30" s="69"/>
      <c r="Q30" s="70" t="str">
        <f t="shared" si="2"/>
        <v/>
      </c>
      <c r="R30" s="54"/>
    </row>
    <row r="31" ht="24.0" customHeight="1">
      <c r="A31" s="53"/>
      <c r="B31" s="53" t="s">
        <v>242</v>
      </c>
      <c r="C31" s="23" t="str">
        <f>Q17</f>
        <v/>
      </c>
      <c r="D31" s="43"/>
      <c r="E31" s="25"/>
      <c r="F31" s="26" t="s">
        <v>39</v>
      </c>
      <c r="G31" s="25"/>
      <c r="H31" s="43"/>
      <c r="I31" s="27" t="str">
        <f>Q18</f>
        <v/>
      </c>
      <c r="J31" s="53" t="s">
        <v>218</v>
      </c>
      <c r="K31" s="67"/>
      <c r="L31" s="68" t="s">
        <v>39</v>
      </c>
      <c r="M31" s="67"/>
      <c r="N31" s="53" t="s">
        <v>218</v>
      </c>
      <c r="O31" s="69"/>
      <c r="P31" s="69"/>
      <c r="Q31" s="70" t="str">
        <f t="shared" si="2"/>
        <v/>
      </c>
      <c r="R31" s="53"/>
    </row>
    <row r="32" ht="24.0" customHeight="1">
      <c r="A32" s="54"/>
      <c r="B32" s="54" t="s">
        <v>243</v>
      </c>
      <c r="C32" s="33" t="str">
        <f>Q19</f>
        <v/>
      </c>
      <c r="D32" s="71"/>
      <c r="E32" s="25"/>
      <c r="F32" s="35" t="s">
        <v>39</v>
      </c>
      <c r="G32" s="25"/>
      <c r="H32" s="71"/>
      <c r="I32" s="36" t="str">
        <f>Q20</f>
        <v/>
      </c>
      <c r="J32" s="54" t="s">
        <v>218</v>
      </c>
      <c r="K32" s="67"/>
      <c r="L32" s="68" t="s">
        <v>39</v>
      </c>
      <c r="M32" s="67"/>
      <c r="N32" s="54" t="s">
        <v>218</v>
      </c>
      <c r="O32" s="69"/>
      <c r="P32" s="69"/>
      <c r="Q32" s="70" t="str">
        <f t="shared" si="2"/>
        <v/>
      </c>
      <c r="R32" s="54"/>
    </row>
    <row r="33" ht="13.5" customHeight="1"/>
    <row r="34" ht="21.75" customHeight="1">
      <c r="A34" s="63"/>
      <c r="B34" s="64" t="s">
        <v>244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2"/>
      <c r="R34" s="63"/>
    </row>
    <row r="35" ht="15.75" customHeight="1">
      <c r="A35" s="66" t="s">
        <v>209</v>
      </c>
      <c r="B35" s="66" t="s">
        <v>210</v>
      </c>
      <c r="C35" s="66" t="s">
        <v>211</v>
      </c>
      <c r="E35" s="66" t="s">
        <v>212</v>
      </c>
      <c r="G35" s="66" t="s">
        <v>212</v>
      </c>
      <c r="I35" s="66" t="s">
        <v>213</v>
      </c>
      <c r="K35" s="66" t="s">
        <v>214</v>
      </c>
      <c r="M35" s="66" t="s">
        <v>214</v>
      </c>
      <c r="O35" s="66" t="s">
        <v>215</v>
      </c>
      <c r="P35" s="66" t="s">
        <v>215</v>
      </c>
      <c r="Q35" s="66" t="s">
        <v>216</v>
      </c>
      <c r="R35" s="66" t="s">
        <v>37</v>
      </c>
    </row>
    <row r="36" ht="24.0" customHeight="1">
      <c r="A36" s="53"/>
      <c r="B36" s="53" t="s">
        <v>245</v>
      </c>
      <c r="C36" s="23" t="str">
        <f>Q25</f>
        <v/>
      </c>
      <c r="D36" s="43"/>
      <c r="E36" s="25"/>
      <c r="F36" s="26" t="s">
        <v>39</v>
      </c>
      <c r="G36" s="25"/>
      <c r="H36" s="43"/>
      <c r="I36" s="27" t="str">
        <f>Q26</f>
        <v/>
      </c>
      <c r="J36" s="53" t="s">
        <v>218</v>
      </c>
      <c r="K36" s="67"/>
      <c r="L36" s="68" t="s">
        <v>39</v>
      </c>
      <c r="M36" s="67"/>
      <c r="N36" s="53" t="s">
        <v>218</v>
      </c>
      <c r="O36" s="69"/>
      <c r="P36" s="69"/>
      <c r="Q36" s="70" t="str">
        <f t="shared" ref="Q36:Q39" si="3">IF(OR(E36="",G36=""),"",IF(E36&gt;G36,C36,IF(E36&lt;G36,I36,IF(AND(K36&lt;&gt;"",M36&lt;&gt;""),IF(K36&gt;M36,C36,IF(K36&lt;M36,I36,IF(AND(O36&lt;&gt;"",P36&lt;&gt;""),IF(O36&gt;=P36,C36,I36),"Pênaltis pendentes"))),"Prorrogação pendente"))))</f>
        <v/>
      </c>
      <c r="R36" s="53"/>
    </row>
    <row r="37" ht="24.0" customHeight="1">
      <c r="A37" s="54"/>
      <c r="B37" s="54" t="s">
        <v>246</v>
      </c>
      <c r="C37" s="33" t="str">
        <f>Q27</f>
        <v/>
      </c>
      <c r="D37" s="71"/>
      <c r="E37" s="25"/>
      <c r="F37" s="35" t="s">
        <v>39</v>
      </c>
      <c r="G37" s="25"/>
      <c r="H37" s="71"/>
      <c r="I37" s="36" t="str">
        <f>Q28</f>
        <v/>
      </c>
      <c r="J37" s="54" t="s">
        <v>218</v>
      </c>
      <c r="K37" s="67"/>
      <c r="L37" s="68" t="s">
        <v>39</v>
      </c>
      <c r="M37" s="67"/>
      <c r="N37" s="54" t="s">
        <v>218</v>
      </c>
      <c r="O37" s="69"/>
      <c r="P37" s="69"/>
      <c r="Q37" s="70" t="str">
        <f t="shared" si="3"/>
        <v/>
      </c>
      <c r="R37" s="54"/>
    </row>
    <row r="38" ht="24.0" customHeight="1">
      <c r="A38" s="53"/>
      <c r="B38" s="53" t="s">
        <v>247</v>
      </c>
      <c r="C38" s="23" t="str">
        <f>Q29</f>
        <v/>
      </c>
      <c r="D38" s="43"/>
      <c r="E38" s="25"/>
      <c r="F38" s="26" t="s">
        <v>39</v>
      </c>
      <c r="G38" s="25"/>
      <c r="H38" s="43"/>
      <c r="I38" s="27" t="str">
        <f>Q30</f>
        <v/>
      </c>
      <c r="J38" s="53" t="s">
        <v>218</v>
      </c>
      <c r="K38" s="67"/>
      <c r="L38" s="68" t="s">
        <v>39</v>
      </c>
      <c r="M38" s="67"/>
      <c r="N38" s="53" t="s">
        <v>218</v>
      </c>
      <c r="O38" s="69"/>
      <c r="P38" s="69"/>
      <c r="Q38" s="70" t="str">
        <f t="shared" si="3"/>
        <v/>
      </c>
      <c r="R38" s="53"/>
    </row>
    <row r="39" ht="24.0" customHeight="1">
      <c r="A39" s="54"/>
      <c r="B39" s="54" t="s">
        <v>248</v>
      </c>
      <c r="C39" s="33" t="str">
        <f>Q31</f>
        <v/>
      </c>
      <c r="D39" s="71"/>
      <c r="E39" s="25"/>
      <c r="F39" s="35" t="s">
        <v>39</v>
      </c>
      <c r="G39" s="25"/>
      <c r="H39" s="71"/>
      <c r="I39" s="36" t="str">
        <f>Q32</f>
        <v/>
      </c>
      <c r="J39" s="54" t="s">
        <v>218</v>
      </c>
      <c r="K39" s="67"/>
      <c r="L39" s="68" t="s">
        <v>39</v>
      </c>
      <c r="M39" s="67"/>
      <c r="N39" s="54" t="s">
        <v>218</v>
      </c>
      <c r="O39" s="69"/>
      <c r="P39" s="69"/>
      <c r="Q39" s="70" t="str">
        <f t="shared" si="3"/>
        <v/>
      </c>
      <c r="R39" s="54"/>
    </row>
    <row r="40" ht="14.25" customHeight="1"/>
    <row r="41" ht="21.75" customHeight="1">
      <c r="A41" s="63"/>
      <c r="B41" s="64" t="s">
        <v>249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2"/>
      <c r="R41" s="63"/>
    </row>
    <row r="42" ht="15.75" customHeight="1">
      <c r="A42" s="66" t="s">
        <v>209</v>
      </c>
      <c r="B42" s="66" t="s">
        <v>210</v>
      </c>
      <c r="C42" s="66" t="s">
        <v>211</v>
      </c>
      <c r="E42" s="66" t="s">
        <v>212</v>
      </c>
      <c r="G42" s="66" t="s">
        <v>212</v>
      </c>
      <c r="I42" s="66" t="s">
        <v>213</v>
      </c>
      <c r="K42" s="66" t="s">
        <v>214</v>
      </c>
      <c r="M42" s="66" t="s">
        <v>214</v>
      </c>
      <c r="O42" s="66" t="s">
        <v>215</v>
      </c>
      <c r="P42" s="66" t="s">
        <v>215</v>
      </c>
      <c r="Q42" s="66" t="s">
        <v>216</v>
      </c>
      <c r="R42" s="66" t="s">
        <v>37</v>
      </c>
    </row>
    <row r="43" ht="24.0" customHeight="1">
      <c r="A43" s="53"/>
      <c r="B43" s="53" t="s">
        <v>250</v>
      </c>
      <c r="C43" s="23" t="str">
        <f>Q36</f>
        <v/>
      </c>
      <c r="D43" s="43"/>
      <c r="E43" s="25"/>
      <c r="F43" s="26" t="s">
        <v>39</v>
      </c>
      <c r="G43" s="25"/>
      <c r="H43" s="43"/>
      <c r="I43" s="27" t="str">
        <f>Q37</f>
        <v/>
      </c>
      <c r="J43" s="53" t="s">
        <v>218</v>
      </c>
      <c r="K43" s="67"/>
      <c r="L43" s="68" t="s">
        <v>39</v>
      </c>
      <c r="M43" s="67"/>
      <c r="N43" s="53" t="s">
        <v>218</v>
      </c>
      <c r="O43" s="69"/>
      <c r="P43" s="69"/>
      <c r="Q43" s="70" t="str">
        <f t="shared" ref="Q43:Q44" si="4">IF(OR(E43="",G43=""),"",IF(E43&gt;G43,C43,IF(E43&lt;G43,I43,IF(AND(K43&lt;&gt;"",M43&lt;&gt;""),IF(K43&gt;M43,C43,IF(K43&lt;M43,I43,IF(AND(O43&lt;&gt;"",P43&lt;&gt;""),IF(O43&gt;=P43,C43,I43),"Pênaltis pendentes"))),"Prorrogação pendente"))))</f>
        <v/>
      </c>
      <c r="R43" s="53"/>
    </row>
    <row r="44" ht="24.0" customHeight="1">
      <c r="A44" s="54"/>
      <c r="B44" s="54" t="s">
        <v>251</v>
      </c>
      <c r="C44" s="33" t="str">
        <f>Q38</f>
        <v/>
      </c>
      <c r="D44" s="71"/>
      <c r="E44" s="25"/>
      <c r="F44" s="35" t="s">
        <v>39</v>
      </c>
      <c r="G44" s="25"/>
      <c r="H44" s="71"/>
      <c r="I44" s="36" t="str">
        <f>Q39</f>
        <v/>
      </c>
      <c r="J44" s="54" t="s">
        <v>218</v>
      </c>
      <c r="K44" s="67"/>
      <c r="L44" s="68" t="s">
        <v>39</v>
      </c>
      <c r="M44" s="67"/>
      <c r="N44" s="54" t="s">
        <v>218</v>
      </c>
      <c r="O44" s="69"/>
      <c r="P44" s="69"/>
      <c r="Q44" s="70" t="str">
        <f t="shared" si="4"/>
        <v/>
      </c>
      <c r="R44" s="54"/>
    </row>
    <row r="45" ht="15.0" customHeight="1"/>
    <row r="46" ht="21.75" customHeight="1">
      <c r="A46" s="73"/>
      <c r="B46" s="74" t="s">
        <v>252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"/>
      <c r="R46" s="73"/>
    </row>
    <row r="47" ht="15.75" customHeight="1">
      <c r="A47" s="75" t="s">
        <v>209</v>
      </c>
      <c r="B47" s="66" t="s">
        <v>210</v>
      </c>
      <c r="C47" s="66" t="s">
        <v>211</v>
      </c>
      <c r="E47" s="66" t="s">
        <v>212</v>
      </c>
      <c r="G47" s="66" t="s">
        <v>212</v>
      </c>
      <c r="I47" s="66" t="s">
        <v>213</v>
      </c>
      <c r="K47" s="66" t="s">
        <v>214</v>
      </c>
      <c r="M47" s="66" t="s">
        <v>214</v>
      </c>
      <c r="O47" s="66" t="s">
        <v>215</v>
      </c>
      <c r="P47" s="66" t="s">
        <v>215</v>
      </c>
      <c r="Q47" s="66" t="s">
        <v>216</v>
      </c>
      <c r="R47" s="76" t="s">
        <v>37</v>
      </c>
    </row>
    <row r="48" ht="24.0" customHeight="1">
      <c r="A48" s="53"/>
      <c r="B48" s="53" t="s">
        <v>253</v>
      </c>
      <c r="C48" s="23" t="str">
        <f>IF(Q43=C43,I43,C43)</f>
        <v/>
      </c>
      <c r="D48" s="43"/>
      <c r="E48" s="25"/>
      <c r="F48" s="26" t="s">
        <v>39</v>
      </c>
      <c r="G48" s="25"/>
      <c r="H48" s="43"/>
      <c r="I48" s="27" t="str">
        <f>IF(Q44=C44,I44,C44)</f>
        <v/>
      </c>
      <c r="J48" s="53" t="s">
        <v>218</v>
      </c>
      <c r="K48" s="67"/>
      <c r="L48" s="68" t="s">
        <v>39</v>
      </c>
      <c r="M48" s="67"/>
      <c r="N48" s="53" t="s">
        <v>218</v>
      </c>
      <c r="O48" s="69"/>
      <c r="P48" s="69"/>
      <c r="Q48" s="70" t="str">
        <f>IF(OR(E48="",G48=""),"",IF(E48&gt;G48,C48,IF(E48&lt;G48,I48,IF(AND(K48&lt;&gt;"",M48&lt;&gt;""),IF(K48&gt;M48,C48,IF(K48&lt;M48,I48,IF(AND(O48&lt;&gt;"",P48&lt;&gt;""),IF(O48&gt;=P48,C48,I48),"Pênaltis pendentes"))),"Prorrogação pendente"))))</f>
        <v/>
      </c>
      <c r="R48" s="53"/>
    </row>
    <row r="49" ht="15.0" customHeight="1"/>
    <row r="50" ht="21.75" customHeight="1">
      <c r="A50" s="77"/>
      <c r="B50" s="78" t="s">
        <v>254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2"/>
      <c r="R50" s="77"/>
    </row>
    <row r="51" ht="15.75" customHeight="1">
      <c r="A51" s="66" t="s">
        <v>209</v>
      </c>
      <c r="B51" s="66" t="s">
        <v>210</v>
      </c>
      <c r="C51" s="66" t="s">
        <v>211</v>
      </c>
      <c r="E51" s="66" t="s">
        <v>212</v>
      </c>
      <c r="G51" s="66" t="s">
        <v>212</v>
      </c>
      <c r="I51" s="66" t="s">
        <v>213</v>
      </c>
      <c r="K51" s="66" t="s">
        <v>214</v>
      </c>
      <c r="M51" s="66" t="s">
        <v>214</v>
      </c>
      <c r="O51" s="66" t="s">
        <v>215</v>
      </c>
      <c r="P51" s="66" t="s">
        <v>215</v>
      </c>
      <c r="Q51" s="66" t="s">
        <v>216</v>
      </c>
      <c r="R51" s="66" t="s">
        <v>37</v>
      </c>
    </row>
    <row r="52" ht="24.0" customHeight="1">
      <c r="A52" s="79"/>
      <c r="B52" s="80" t="s">
        <v>255</v>
      </c>
      <c r="C52" s="81" t="str">
        <f>Q43</f>
        <v/>
      </c>
      <c r="D52" s="82"/>
      <c r="E52" s="83"/>
      <c r="F52" s="84" t="s">
        <v>39</v>
      </c>
      <c r="G52" s="83"/>
      <c r="H52" s="82"/>
      <c r="I52" s="85" t="str">
        <f>Q44</f>
        <v/>
      </c>
      <c r="J52" s="79" t="s">
        <v>218</v>
      </c>
      <c r="K52" s="86"/>
      <c r="L52" s="87" t="s">
        <v>39</v>
      </c>
      <c r="M52" s="86"/>
      <c r="N52" s="79" t="s">
        <v>218</v>
      </c>
      <c r="O52" s="88"/>
      <c r="P52" s="88"/>
      <c r="Q52" s="89" t="str">
        <f>IF(OR(E52="",G52=""),"",IF(E52&gt;G52,C52,IF(E52&lt;G52,I52,IF(AND(K52&lt;&gt;"",M52&lt;&gt;""),IF(K52&gt;M52,C52,IF(K52&lt;M52,I52,IF(AND(O52&lt;&gt;"",P52&lt;&gt;""),IF(O52&gt;=P52,C52,I52),"Pênaltis pendentes"))),"Prorrogação pendente"))))</f>
        <v/>
      </c>
      <c r="R52" s="79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1:Q1"/>
    <mergeCell ref="B3:Q3"/>
    <mergeCell ref="B21:Q21"/>
    <mergeCell ref="B23:Q23"/>
    <mergeCell ref="B34:Q34"/>
    <mergeCell ref="B41:Q41"/>
    <mergeCell ref="B46:Q46"/>
    <mergeCell ref="B50:Q50"/>
  </mergeCells>
  <printOptions/>
  <pageMargins bottom="1.0" footer="0.0" header="0.0" left="0.75" right="0.75" top="1.0"/>
  <pageSetup paperSize="9" orientation="portrait"/>
  <drawing r:id="rId1"/>
</worksheet>
</file>